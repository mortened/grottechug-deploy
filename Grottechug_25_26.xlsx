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V" sheetId="1" r:id="rId5"/>
    <sheet state="visible" name="2025H" sheetId="2" r:id="rId6"/>
    <sheet state="visible" name="Kryssliste2526" sheetId="3" r:id="rId7"/>
    <sheet state="visible" name="2023H" sheetId="4" r:id="rId8"/>
    <sheet state="visible" name="2024V" sheetId="5" r:id="rId9"/>
  </sheets>
  <definedNames>
    <definedName hidden="1" localSheetId="3" name="_xlnm._FilterDatabase">'2023H'!$AD$30:$AE$49</definedName>
  </definedNames>
  <calcPr/>
</workbook>
</file>

<file path=xl/sharedStrings.xml><?xml version="1.0" encoding="utf-8"?>
<sst xmlns="http://schemas.openxmlformats.org/spreadsheetml/2006/main" count="1287" uniqueCount="221">
  <si>
    <t>Deltaker</t>
  </si>
  <si>
    <t>Beste resultat</t>
  </si>
  <si>
    <t>Snitt</t>
  </si>
  <si>
    <t>16.01</t>
  </si>
  <si>
    <t>Anmerkning</t>
  </si>
  <si>
    <t>23.01</t>
  </si>
  <si>
    <t>Anmerkning 2</t>
  </si>
  <si>
    <t>30.01</t>
  </si>
  <si>
    <t>Anmerkning 3</t>
  </si>
  <si>
    <t>06.02</t>
  </si>
  <si>
    <t>Anmerkning 4</t>
  </si>
  <si>
    <t>13.02</t>
  </si>
  <si>
    <t>Anmerkning 5</t>
  </si>
  <si>
    <t>19.02 (Kiltfest)</t>
  </si>
  <si>
    <t>Anmerkning 6</t>
  </si>
  <si>
    <t>27.02</t>
  </si>
  <si>
    <t>Anmerkning 7</t>
  </si>
  <si>
    <t>Emma</t>
  </si>
  <si>
    <t>gyldig fravær</t>
  </si>
  <si>
    <t>mm-chug</t>
  </si>
  <si>
    <t>fravær</t>
  </si>
  <si>
    <t>Ingrid</t>
  </si>
  <si>
    <t>Jatha</t>
  </si>
  <si>
    <t>bixit i munnen</t>
  </si>
  <si>
    <t>Knut</t>
  </si>
  <si>
    <t>w-chug</t>
  </si>
  <si>
    <t>Fravær</t>
  </si>
  <si>
    <t>Lea</t>
  </si>
  <si>
    <t>Malene</t>
  </si>
  <si>
    <t>under tvil</t>
  </si>
  <si>
    <t>video</t>
  </si>
  <si>
    <t>Markus</t>
  </si>
  <si>
    <t>Michelle</t>
  </si>
  <si>
    <t>Remote</t>
  </si>
  <si>
    <t>Peder</t>
  </si>
  <si>
    <t>Thea</t>
  </si>
  <si>
    <t>Tobias A.</t>
  </si>
  <si>
    <t>Tobias-chug, mah nah ma nah</t>
  </si>
  <si>
    <t>p-chug</t>
  </si>
  <si>
    <t>Tobias N.</t>
  </si>
  <si>
    <t>Morten</t>
  </si>
  <si>
    <t>Åke</t>
  </si>
  <si>
    <t>Pint Guiness, fra Dublin</t>
  </si>
  <si>
    <t>Dominik</t>
  </si>
  <si>
    <t>jomfruchug, mm-chug</t>
  </si>
  <si>
    <t>GJESTER</t>
  </si>
  <si>
    <t>Maria</t>
  </si>
  <si>
    <t>Einar</t>
  </si>
  <si>
    <t>Camilla</t>
  </si>
  <si>
    <t>p-chug, w-chug</t>
  </si>
  <si>
    <t>Sebastian</t>
  </si>
  <si>
    <t>Vilde</t>
  </si>
  <si>
    <t>Andrea</t>
  </si>
  <si>
    <t>Judith</t>
  </si>
  <si>
    <t>Tirza</t>
  </si>
  <si>
    <t>Iris</t>
  </si>
  <si>
    <t>Nathalia</t>
  </si>
  <si>
    <t>Tuva</t>
  </si>
  <si>
    <t>Vegard</t>
  </si>
  <si>
    <t>Daniel</t>
  </si>
  <si>
    <t>Lars</t>
  </si>
  <si>
    <t>Jakob</t>
  </si>
  <si>
    <t>Andreas</t>
  </si>
  <si>
    <t>Kari</t>
  </si>
  <si>
    <t>Vetle</t>
  </si>
  <si>
    <t>2024 (3. klasse)</t>
  </si>
  <si>
    <t>12.09.25</t>
  </si>
  <si>
    <t>19.09.2025</t>
  </si>
  <si>
    <t>26.09.2025</t>
  </si>
  <si>
    <t>03.10.2025</t>
  </si>
  <si>
    <t>09.10.2025</t>
  </si>
  <si>
    <t>17.10.2025</t>
  </si>
  <si>
    <t>24.10.2025</t>
  </si>
  <si>
    <t>31.10.2025</t>
  </si>
  <si>
    <t>Anmerkning 8</t>
  </si>
  <si>
    <t>07.11.2025</t>
  </si>
  <si>
    <t>Anmerkning 9</t>
  </si>
  <si>
    <t>14.11.2025</t>
  </si>
  <si>
    <t>Anmerkning 10</t>
  </si>
  <si>
    <t>21.11.2025</t>
  </si>
  <si>
    <t>Anmerkning 11</t>
  </si>
  <si>
    <t>28.11</t>
  </si>
  <si>
    <t>Anmerkning 12</t>
  </si>
  <si>
    <t>05.12</t>
  </si>
  <si>
    <t>Anmerkning 13</t>
  </si>
  <si>
    <t>12.06</t>
  </si>
  <si>
    <t>Anmerkning 14</t>
  </si>
  <si>
    <t>ekstra</t>
  </si>
  <si>
    <t>Anmerkning 15</t>
  </si>
  <si>
    <t>w-chug, p-chug</t>
  </si>
  <si>
    <t>Torsdag, Tobias-chug</t>
  </si>
  <si>
    <t>Video, 0.4 - justert med 1/4</t>
  </si>
  <si>
    <t>Video</t>
  </si>
  <si>
    <t>Julebord</t>
  </si>
  <si>
    <t>Skadefritak</t>
  </si>
  <si>
    <t>Torsdag</t>
  </si>
  <si>
    <t>DNS</t>
  </si>
  <si>
    <t>Juleferie&lt;33</t>
  </si>
  <si>
    <t>Kvid Monstår</t>
  </si>
  <si>
    <t>mm-chug, remote</t>
  </si>
  <si>
    <t>p-chug, Tobias-chug</t>
  </si>
  <si>
    <t>Torsdag, tobias-chug</t>
  </si>
  <si>
    <t>Torsdag, KPR</t>
  </si>
  <si>
    <t>Alkoholfri</t>
  </si>
  <si>
    <t>Uten kullsyre</t>
  </si>
  <si>
    <t>Frus</t>
  </si>
  <si>
    <t>Video, 0.4 - juster med 1/4</t>
  </si>
  <si>
    <t>mm-chug ut av nesa</t>
  </si>
  <si>
    <t>Torsdag, video</t>
  </si>
  <si>
    <t>vw-chug</t>
  </si>
  <si>
    <t>w</t>
  </si>
  <si>
    <t>(Camilla)</t>
  </si>
  <si>
    <t>(Judith)</t>
  </si>
  <si>
    <t>vann</t>
  </si>
  <si>
    <t>(Tuva)</t>
  </si>
  <si>
    <t>(Øyvind)</t>
  </si>
  <si>
    <t>Erlend</t>
  </si>
  <si>
    <t>Bjørnar</t>
  </si>
  <si>
    <t>Fredrik</t>
  </si>
  <si>
    <t>Idunn</t>
  </si>
  <si>
    <t>Kryssoversikt Geogrotta</t>
  </si>
  <si>
    <t>Innvandrerkryss</t>
  </si>
  <si>
    <t>Totalt:</t>
  </si>
  <si>
    <t>Snitt kryss/pers:</t>
  </si>
  <si>
    <t>Totalt</t>
  </si>
  <si>
    <t xml:space="preserve">Sum: </t>
  </si>
  <si>
    <t xml:space="preserve">Når: </t>
  </si>
  <si>
    <t>Antall kryss</t>
  </si>
  <si>
    <t>Årsak</t>
  </si>
  <si>
    <t>Tobias-chug</t>
  </si>
  <si>
    <t>VW-chug</t>
  </si>
  <si>
    <t>Pant</t>
  </si>
  <si>
    <t>Beste Resultat</t>
  </si>
  <si>
    <t>20.10.23</t>
  </si>
  <si>
    <t>27.10.23</t>
  </si>
  <si>
    <t>Differanse</t>
  </si>
  <si>
    <t>03.11.23</t>
  </si>
  <si>
    <t>10.11.23</t>
  </si>
  <si>
    <t xml:space="preserve">Anmerkning </t>
  </si>
  <si>
    <t>Baglo</t>
  </si>
  <si>
    <t>mm</t>
  </si>
  <si>
    <t>DNS-chug</t>
  </si>
  <si>
    <t>Vemund</t>
  </si>
  <si>
    <t>Kasper</t>
  </si>
  <si>
    <t>Video (Tvil)</t>
  </si>
  <si>
    <t>Jens</t>
  </si>
  <si>
    <t>Bonde</t>
  </si>
  <si>
    <t>Fravær chug</t>
  </si>
  <si>
    <t>Godkjent fravær med antibiotika</t>
  </si>
  <si>
    <t>Nils</t>
  </si>
  <si>
    <t>Galler</t>
  </si>
  <si>
    <t>vw</t>
  </si>
  <si>
    <t>MAß</t>
  </si>
  <si>
    <t>Even</t>
  </si>
  <si>
    <t>Ingvil</t>
  </si>
  <si>
    <t>Robert</t>
  </si>
  <si>
    <t>mmp</t>
  </si>
  <si>
    <t>wp</t>
  </si>
  <si>
    <t>Sigurd S.</t>
  </si>
  <si>
    <t>Kristian</t>
  </si>
  <si>
    <t>Oskar</t>
  </si>
  <si>
    <t>p</t>
  </si>
  <si>
    <t>Helena</t>
  </si>
  <si>
    <t>Sigurd B.</t>
  </si>
  <si>
    <t>Adrian</t>
  </si>
  <si>
    <t>Iver</t>
  </si>
  <si>
    <t>vw + utbrudd</t>
  </si>
  <si>
    <t>Godkjent fravær</t>
  </si>
  <si>
    <t>Gjester</t>
  </si>
  <si>
    <t>MO</t>
  </si>
  <si>
    <t>Ulrik</t>
  </si>
  <si>
    <t>finn frem moppen, men ikke på rekordtiden</t>
  </si>
  <si>
    <t>Stian</t>
  </si>
  <si>
    <t>Thomas</t>
  </si>
  <si>
    <t>Anders</t>
  </si>
  <si>
    <t>DNF</t>
  </si>
  <si>
    <t>Ingelin</t>
  </si>
  <si>
    <t xml:space="preserve">mmp </t>
  </si>
  <si>
    <t>1.</t>
  </si>
  <si>
    <t xml:space="preserve">1. </t>
  </si>
  <si>
    <t>2.</t>
  </si>
  <si>
    <t xml:space="preserve">2. </t>
  </si>
  <si>
    <t xml:space="preserve">3. </t>
  </si>
  <si>
    <t xml:space="preserve">4. </t>
  </si>
  <si>
    <t>4.</t>
  </si>
  <si>
    <t xml:space="preserve">5. </t>
  </si>
  <si>
    <t>5.</t>
  </si>
  <si>
    <t xml:space="preserve">6. </t>
  </si>
  <si>
    <t>Sigurd</t>
  </si>
  <si>
    <t xml:space="preserve">7. </t>
  </si>
  <si>
    <t>7.</t>
  </si>
  <si>
    <t>8.</t>
  </si>
  <si>
    <t>9.</t>
  </si>
  <si>
    <t>–</t>
  </si>
  <si>
    <t>10.</t>
  </si>
  <si>
    <t>11.</t>
  </si>
  <si>
    <t xml:space="preserve">11. </t>
  </si>
  <si>
    <t>12.</t>
  </si>
  <si>
    <t>1. MAß</t>
  </si>
  <si>
    <t>13.</t>
  </si>
  <si>
    <t>2. MAß</t>
  </si>
  <si>
    <t>14.</t>
  </si>
  <si>
    <t>15.</t>
  </si>
  <si>
    <t>16.</t>
  </si>
  <si>
    <t>17.</t>
  </si>
  <si>
    <t>18.</t>
  </si>
  <si>
    <t>19.</t>
  </si>
  <si>
    <t>20.</t>
  </si>
  <si>
    <t>Pre-Season</t>
  </si>
  <si>
    <t>Farvær</t>
  </si>
  <si>
    <t>Video (under tvil)</t>
  </si>
  <si>
    <t>DNF, VW</t>
  </si>
  <si>
    <t>wp-chug</t>
  </si>
  <si>
    <t>Video,mm</t>
  </si>
  <si>
    <t>Gyldig fravær</t>
  </si>
  <si>
    <t>Gyldig Fravær</t>
  </si>
  <si>
    <t>Ida</t>
  </si>
  <si>
    <t>Adrian (Vake)</t>
  </si>
  <si>
    <t>Tobias</t>
  </si>
  <si>
    <t xml:space="preserve">Einar </t>
  </si>
  <si>
    <t>Phillip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</si>
</sst>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"/>
    <numFmt numFmtId="165" formatCode="d.m"/>
    <numFmt numFmtId="166" formatCode="dd.MM.yyyy"/>
    <numFmt numFmtId="167" formatCode="d.m.yyyy"/>
    <numFmt numFmtId="168" formatCode="dd.mm.yyyy"/>
    <numFmt numFmtId="169" formatCode="d.m.yy"/>
  </numFmts>
  <fonts count="12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rgb="FF000000"/>
      <name val="Arial"/>
    </font>
    <font>
      <sz val="12.0"/>
      <color theme="1"/>
      <name val="Calibri"/>
    </font>
    <font>
      <sz val="12.0"/>
      <color rgb="FF000000"/>
      <name val="Calibri"/>
    </font>
    <font>
      <b/>
      <color theme="1"/>
      <name val="Arial"/>
      <scheme val="minor"/>
    </font>
    <font>
      <b/>
      <color theme="1"/>
      <name val="Arial"/>
    </font>
    <font>
      <sz val="12.0"/>
      <color rgb="FF000000"/>
      <name val="Arial"/>
      <scheme val="minor"/>
    </font>
    <font>
      <color rgb="FF000000"/>
      <name val="Docs-Calibri"/>
    </font>
    <font>
      <color rgb="FF000000"/>
      <name val="Calibri"/>
    </font>
    <font>
      <color rgb="FF00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8D08D"/>
        <bgColor rgb="FFA8D08D"/>
      </patternFill>
    </fill>
    <fill>
      <patternFill patternType="solid">
        <fgColor rgb="FF9CC2E5"/>
        <bgColor rgb="FF9CC2E5"/>
      </patternFill>
    </fill>
    <fill>
      <patternFill patternType="solid">
        <fgColor rgb="FFFFD965"/>
        <bgColor rgb="FFFFD965"/>
      </patternFill>
    </fill>
    <fill>
      <patternFill patternType="solid">
        <fgColor rgb="FFC8C8C8"/>
        <bgColor rgb="FFC8C8C8"/>
      </patternFill>
    </fill>
    <fill>
      <patternFill patternType="solid">
        <fgColor rgb="FFF4B083"/>
        <bgColor rgb="FFF4B083"/>
      </patternFill>
    </fill>
    <fill>
      <patternFill patternType="solid">
        <fgColor rgb="FF8EAADB"/>
        <bgColor rgb="FF8EAADB"/>
      </patternFill>
    </fill>
    <fill>
      <patternFill patternType="solid">
        <fgColor rgb="FF8496B0"/>
        <bgColor rgb="FF8496B0"/>
      </patternFill>
    </fill>
    <fill>
      <patternFill patternType="solid">
        <fgColor rgb="FFEA9999"/>
        <bgColor rgb="FFEA9999"/>
      </patternFill>
    </fill>
  </fills>
  <borders count="3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top/>
      <bottom/>
    </border>
    <border>
      <left style="medium">
        <color rgb="FF000000"/>
      </left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</border>
    <border>
      <right style="thin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3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1" fillId="0" fontId="3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165" xfId="0" applyAlignment="1" applyBorder="1" applyFont="1" applyNumberFormat="1">
      <alignment readingOrder="0" shrinkToFit="0" vertical="center" wrapText="0"/>
    </xf>
    <xf borderId="3" fillId="0" fontId="1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0"/>
    </xf>
    <xf borderId="4" fillId="0" fontId="4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7" fillId="0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8" fillId="0" fontId="4" numFmtId="0" xfId="0" applyAlignment="1" applyBorder="1" applyFont="1">
      <alignment readingOrder="0" vertical="bottom"/>
    </xf>
    <xf borderId="9" fillId="0" fontId="4" numFmtId="0" xfId="0" applyAlignment="1" applyBorder="1" applyFont="1">
      <alignment horizontal="right" vertical="bottom"/>
    </xf>
    <xf borderId="9" fillId="0" fontId="4" numFmtId="0" xfId="0" applyAlignment="1" applyBorder="1" applyFont="1">
      <alignment vertical="bottom"/>
    </xf>
    <xf borderId="10" fillId="2" fontId="4" numFmtId="2" xfId="0" applyAlignment="1" applyBorder="1" applyFill="1" applyFont="1" applyNumberFormat="1">
      <alignment horizontal="right" vertical="bottom"/>
    </xf>
    <xf borderId="11" fillId="3" fontId="4" numFmtId="0" xfId="0" applyAlignment="1" applyBorder="1" applyFill="1" applyFont="1">
      <alignment vertical="bottom"/>
    </xf>
    <xf borderId="12" fillId="3" fontId="1" numFmtId="0" xfId="0" applyAlignment="1" applyBorder="1" applyFont="1">
      <alignment vertical="bottom"/>
    </xf>
    <xf borderId="13" fillId="3" fontId="1" numFmtId="0" xfId="0" applyAlignment="1" applyBorder="1" applyFont="1">
      <alignment vertical="bottom"/>
    </xf>
    <xf borderId="12" fillId="4" fontId="4" numFmtId="0" xfId="0" applyAlignment="1" applyBorder="1" applyFill="1" applyFont="1">
      <alignment vertical="bottom"/>
    </xf>
    <xf borderId="12" fillId="4" fontId="1" numFmtId="0" xfId="0" applyAlignment="1" applyBorder="1" applyFont="1">
      <alignment vertical="bottom"/>
    </xf>
    <xf borderId="13" fillId="4" fontId="1" numFmtId="0" xfId="0" applyAlignment="1" applyBorder="1" applyFont="1">
      <alignment vertical="bottom"/>
    </xf>
    <xf borderId="11" fillId="5" fontId="4" numFmtId="0" xfId="0" applyAlignment="1" applyBorder="1" applyFill="1" applyFont="1">
      <alignment vertical="bottom"/>
    </xf>
    <xf borderId="12" fillId="5" fontId="1" numFmtId="0" xfId="0" applyAlignment="1" applyBorder="1" applyFont="1">
      <alignment vertical="bottom"/>
    </xf>
    <xf borderId="13" fillId="5" fontId="1" numFmtId="0" xfId="0" applyAlignment="1" applyBorder="1" applyFont="1">
      <alignment vertical="bottom"/>
    </xf>
    <xf borderId="11" fillId="6" fontId="4" numFmtId="0" xfId="0" applyAlignment="1" applyBorder="1" applyFill="1" applyFont="1">
      <alignment vertical="bottom"/>
    </xf>
    <xf borderId="12" fillId="6" fontId="1" numFmtId="0" xfId="0" applyAlignment="1" applyBorder="1" applyFont="1">
      <alignment vertical="bottom"/>
    </xf>
    <xf borderId="13" fillId="6" fontId="1" numFmtId="0" xfId="0" applyAlignment="1" applyBorder="1" applyFont="1">
      <alignment vertical="bottom"/>
    </xf>
    <xf borderId="11" fillId="7" fontId="4" numFmtId="0" xfId="0" applyAlignment="1" applyBorder="1" applyFill="1" applyFont="1">
      <alignment vertical="bottom"/>
    </xf>
    <xf borderId="12" fillId="7" fontId="1" numFmtId="0" xfId="0" applyAlignment="1" applyBorder="1" applyFont="1">
      <alignment vertical="bottom"/>
    </xf>
    <xf borderId="13" fillId="7" fontId="1" numFmtId="0" xfId="0" applyAlignment="1" applyBorder="1" applyFont="1">
      <alignment vertical="bottom"/>
    </xf>
    <xf borderId="11" fillId="8" fontId="4" numFmtId="0" xfId="0" applyAlignment="1" applyBorder="1" applyFill="1" applyFont="1">
      <alignment vertical="bottom"/>
    </xf>
    <xf borderId="12" fillId="8" fontId="1" numFmtId="0" xfId="0" applyAlignment="1" applyBorder="1" applyFont="1">
      <alignment vertical="bottom"/>
    </xf>
    <xf borderId="13" fillId="8" fontId="1" numFmtId="0" xfId="0" applyAlignment="1" applyBorder="1" applyFont="1">
      <alignment vertical="bottom"/>
    </xf>
    <xf borderId="11" fillId="9" fontId="4" numFmtId="0" xfId="0" applyAlignment="1" applyBorder="1" applyFill="1" applyFont="1">
      <alignment vertical="bottom"/>
    </xf>
    <xf borderId="12" fillId="9" fontId="1" numFmtId="0" xfId="0" applyAlignment="1" applyBorder="1" applyFont="1">
      <alignment vertical="bottom"/>
    </xf>
    <xf borderId="13" fillId="9" fontId="1" numFmtId="0" xfId="0" applyAlignment="1" applyBorder="1" applyFont="1">
      <alignment vertical="bottom"/>
    </xf>
    <xf borderId="11" fillId="4" fontId="4" numFmtId="0" xfId="0" applyAlignment="1" applyBorder="1" applyFont="1">
      <alignment vertical="bottom"/>
    </xf>
    <xf borderId="14" fillId="8" fontId="1" numFmtId="0" xfId="0" applyAlignment="1" applyBorder="1" applyFont="1">
      <alignment vertical="bottom"/>
    </xf>
    <xf borderId="4" fillId="10" fontId="4" numFmtId="0" xfId="0" applyAlignment="1" applyBorder="1" applyFill="1" applyFont="1">
      <alignment readingOrder="0" vertical="bottom"/>
    </xf>
    <xf borderId="15" fillId="10" fontId="1" numFmtId="0" xfId="0" applyAlignment="1" applyBorder="1" applyFont="1">
      <alignment vertical="bottom"/>
    </xf>
    <xf borderId="16" fillId="10" fontId="1" numFmtId="0" xfId="0" applyAlignment="1" applyBorder="1" applyFont="1">
      <alignment vertical="bottom"/>
    </xf>
    <xf borderId="17" fillId="3" fontId="4" numFmtId="0" xfId="0" applyAlignment="1" applyBorder="1" applyFont="1">
      <alignment vertical="bottom"/>
    </xf>
    <xf borderId="18" fillId="3" fontId="4" numFmtId="0" xfId="0" applyAlignment="1" applyBorder="1" applyFont="1">
      <alignment horizontal="right" vertical="bottom"/>
    </xf>
    <xf borderId="19" fillId="3" fontId="1" numFmtId="0" xfId="0" applyAlignment="1" applyBorder="1" applyFont="1">
      <alignment vertical="bottom"/>
    </xf>
    <xf borderId="18" fillId="4" fontId="4" numFmtId="0" xfId="0" applyAlignment="1" applyBorder="1" applyFont="1">
      <alignment vertical="bottom"/>
    </xf>
    <xf borderId="18" fillId="4" fontId="4" numFmtId="0" xfId="0" applyAlignment="1" applyBorder="1" applyFont="1">
      <alignment horizontal="right" vertical="bottom"/>
    </xf>
    <xf borderId="19" fillId="4" fontId="1" numFmtId="0" xfId="0" applyAlignment="1" applyBorder="1" applyFont="1">
      <alignment vertical="bottom"/>
    </xf>
    <xf borderId="17" fillId="5" fontId="4" numFmtId="0" xfId="0" applyAlignment="1" applyBorder="1" applyFont="1">
      <alignment vertical="bottom"/>
    </xf>
    <xf borderId="18" fillId="5" fontId="4" numFmtId="0" xfId="0" applyAlignment="1" applyBorder="1" applyFont="1">
      <alignment horizontal="right" vertical="bottom"/>
    </xf>
    <xf borderId="19" fillId="5" fontId="1" numFmtId="0" xfId="0" applyAlignment="1" applyBorder="1" applyFont="1">
      <alignment vertical="bottom"/>
    </xf>
    <xf borderId="17" fillId="6" fontId="4" numFmtId="0" xfId="0" applyAlignment="1" applyBorder="1" applyFont="1">
      <alignment vertical="bottom"/>
    </xf>
    <xf borderId="18" fillId="6" fontId="4" numFmtId="0" xfId="0" applyAlignment="1" applyBorder="1" applyFont="1">
      <alignment horizontal="right" vertical="bottom"/>
    </xf>
    <xf borderId="19" fillId="6" fontId="1" numFmtId="0" xfId="0" applyAlignment="1" applyBorder="1" applyFont="1">
      <alignment vertical="bottom"/>
    </xf>
    <xf borderId="17" fillId="7" fontId="4" numFmtId="0" xfId="0" applyAlignment="1" applyBorder="1" applyFont="1">
      <alignment vertical="bottom"/>
    </xf>
    <xf borderId="18" fillId="7" fontId="4" numFmtId="0" xfId="0" applyAlignment="1" applyBorder="1" applyFont="1">
      <alignment horizontal="right" vertical="bottom"/>
    </xf>
    <xf borderId="19" fillId="7" fontId="1" numFmtId="0" xfId="0" applyAlignment="1" applyBorder="1" applyFont="1">
      <alignment vertical="bottom"/>
    </xf>
    <xf borderId="17" fillId="8" fontId="4" numFmtId="0" xfId="0" applyAlignment="1" applyBorder="1" applyFont="1">
      <alignment vertical="bottom"/>
    </xf>
    <xf borderId="18" fillId="8" fontId="4" numFmtId="0" xfId="0" applyAlignment="1" applyBorder="1" applyFont="1">
      <alignment horizontal="right" vertical="bottom"/>
    </xf>
    <xf borderId="19" fillId="8" fontId="1" numFmtId="0" xfId="0" applyAlignment="1" applyBorder="1" applyFont="1">
      <alignment vertical="bottom"/>
    </xf>
    <xf borderId="17" fillId="9" fontId="4" numFmtId="0" xfId="0" applyAlignment="1" applyBorder="1" applyFont="1">
      <alignment vertical="bottom"/>
    </xf>
    <xf borderId="18" fillId="9" fontId="4" numFmtId="0" xfId="0" applyAlignment="1" applyBorder="1" applyFont="1">
      <alignment horizontal="right" vertical="bottom"/>
    </xf>
    <xf borderId="19" fillId="9" fontId="1" numFmtId="0" xfId="0" applyAlignment="1" applyBorder="1" applyFont="1">
      <alignment vertical="bottom"/>
    </xf>
    <xf borderId="17" fillId="4" fontId="4" numFmtId="0" xfId="0" applyAlignment="1" applyBorder="1" applyFont="1">
      <alignment vertical="bottom"/>
    </xf>
    <xf borderId="20" fillId="8" fontId="4" numFmtId="0" xfId="0" applyAlignment="1" applyBorder="1" applyFont="1">
      <alignment horizontal="right" vertical="bottom"/>
    </xf>
    <xf borderId="21" fillId="10" fontId="4" numFmtId="0" xfId="0" applyAlignment="1" applyBorder="1" applyFont="1">
      <alignment vertical="bottom"/>
    </xf>
    <xf borderId="0" fillId="10" fontId="4" numFmtId="0" xfId="0" applyAlignment="1" applyFont="1">
      <alignment horizontal="right" vertical="bottom"/>
    </xf>
    <xf borderId="7" fillId="10" fontId="4" numFmtId="0" xfId="0" applyAlignment="1" applyBorder="1" applyFont="1">
      <alignment horizontal="right" vertical="bottom"/>
    </xf>
    <xf borderId="17" fillId="3" fontId="1" numFmtId="0" xfId="0" applyAlignment="1" applyBorder="1" applyFont="1">
      <alignment vertical="bottom"/>
    </xf>
    <xf borderId="18" fillId="3" fontId="1" numFmtId="0" xfId="0" applyAlignment="1" applyBorder="1" applyFont="1">
      <alignment vertical="bottom"/>
    </xf>
    <xf borderId="18" fillId="4" fontId="1" numFmtId="0" xfId="0" applyAlignment="1" applyBorder="1" applyFont="1">
      <alignment vertical="bottom"/>
    </xf>
    <xf borderId="17" fillId="5" fontId="1" numFmtId="0" xfId="0" applyAlignment="1" applyBorder="1" applyFont="1">
      <alignment vertical="bottom"/>
    </xf>
    <xf borderId="18" fillId="5" fontId="1" numFmtId="0" xfId="0" applyAlignment="1" applyBorder="1" applyFont="1">
      <alignment vertical="bottom"/>
    </xf>
    <xf borderId="17" fillId="6" fontId="1" numFmtId="0" xfId="0" applyAlignment="1" applyBorder="1" applyFont="1">
      <alignment vertical="bottom"/>
    </xf>
    <xf borderId="18" fillId="6" fontId="1" numFmtId="0" xfId="0" applyAlignment="1" applyBorder="1" applyFont="1">
      <alignment vertical="bottom"/>
    </xf>
    <xf borderId="17" fillId="7" fontId="1" numFmtId="0" xfId="0" applyAlignment="1" applyBorder="1" applyFont="1">
      <alignment vertical="bottom"/>
    </xf>
    <xf borderId="18" fillId="7" fontId="1" numFmtId="0" xfId="0" applyAlignment="1" applyBorder="1" applyFont="1">
      <alignment vertical="bottom"/>
    </xf>
    <xf borderId="17" fillId="8" fontId="1" numFmtId="0" xfId="0" applyAlignment="1" applyBorder="1" applyFont="1">
      <alignment vertical="bottom"/>
    </xf>
    <xf borderId="18" fillId="8" fontId="1" numFmtId="0" xfId="0" applyAlignment="1" applyBorder="1" applyFont="1">
      <alignment vertical="bottom"/>
    </xf>
    <xf borderId="17" fillId="9" fontId="1" numFmtId="0" xfId="0" applyAlignment="1" applyBorder="1" applyFont="1">
      <alignment vertical="bottom"/>
    </xf>
    <xf borderId="18" fillId="9" fontId="1" numFmtId="0" xfId="0" applyAlignment="1" applyBorder="1" applyFont="1">
      <alignment vertical="bottom"/>
    </xf>
    <xf borderId="17" fillId="4" fontId="1" numFmtId="0" xfId="0" applyAlignment="1" applyBorder="1" applyFont="1">
      <alignment vertical="bottom"/>
    </xf>
    <xf borderId="20" fillId="8" fontId="1" numFmtId="0" xfId="0" applyAlignment="1" applyBorder="1" applyFont="1">
      <alignment vertical="bottom"/>
    </xf>
    <xf borderId="21" fillId="10" fontId="1" numFmtId="0" xfId="0" applyAlignment="1" applyBorder="1" applyFont="1">
      <alignment vertical="bottom"/>
    </xf>
    <xf borderId="0" fillId="10" fontId="1" numFmtId="0" xfId="0" applyAlignment="1" applyFont="1">
      <alignment vertical="bottom"/>
    </xf>
    <xf borderId="7" fillId="10" fontId="1" numFmtId="0" xfId="0" applyAlignment="1" applyBorder="1" applyFont="1">
      <alignment vertical="bottom"/>
    </xf>
    <xf borderId="22" fillId="3" fontId="4" numFmtId="0" xfId="0" applyAlignment="1" applyBorder="1" applyFont="1">
      <alignment vertical="bottom"/>
    </xf>
    <xf borderId="23" fillId="3" fontId="4" numFmtId="0" xfId="0" applyAlignment="1" applyBorder="1" applyFont="1">
      <alignment vertical="bottom"/>
    </xf>
    <xf borderId="24" fillId="3" fontId="4" numFmtId="0" xfId="0" applyAlignment="1" applyBorder="1" applyFont="1">
      <alignment vertical="bottom"/>
    </xf>
    <xf borderId="23" fillId="4" fontId="4" numFmtId="0" xfId="0" applyAlignment="1" applyBorder="1" applyFont="1">
      <alignment vertical="bottom"/>
    </xf>
    <xf borderId="24" fillId="4" fontId="4" numFmtId="0" xfId="0" applyAlignment="1" applyBorder="1" applyFont="1">
      <alignment vertical="bottom"/>
    </xf>
    <xf borderId="22" fillId="5" fontId="4" numFmtId="0" xfId="0" applyAlignment="1" applyBorder="1" applyFont="1">
      <alignment vertical="bottom"/>
    </xf>
    <xf borderId="23" fillId="5" fontId="4" numFmtId="0" xfId="0" applyAlignment="1" applyBorder="1" applyFont="1">
      <alignment vertical="bottom"/>
    </xf>
    <xf borderId="24" fillId="5" fontId="4" numFmtId="0" xfId="0" applyAlignment="1" applyBorder="1" applyFont="1">
      <alignment vertical="bottom"/>
    </xf>
    <xf borderId="22" fillId="6" fontId="4" numFmtId="0" xfId="0" applyAlignment="1" applyBorder="1" applyFont="1">
      <alignment vertical="bottom"/>
    </xf>
    <xf borderId="23" fillId="6" fontId="4" numFmtId="0" xfId="0" applyAlignment="1" applyBorder="1" applyFont="1">
      <alignment vertical="bottom"/>
    </xf>
    <xf borderId="24" fillId="6" fontId="4" numFmtId="0" xfId="0" applyAlignment="1" applyBorder="1" applyFont="1">
      <alignment vertical="bottom"/>
    </xf>
    <xf borderId="22" fillId="7" fontId="4" numFmtId="0" xfId="0" applyAlignment="1" applyBorder="1" applyFont="1">
      <alignment vertical="bottom"/>
    </xf>
    <xf borderId="23" fillId="7" fontId="4" numFmtId="0" xfId="0" applyAlignment="1" applyBorder="1" applyFont="1">
      <alignment vertical="bottom"/>
    </xf>
    <xf borderId="24" fillId="7" fontId="4" numFmtId="0" xfId="0" applyAlignment="1" applyBorder="1" applyFont="1">
      <alignment vertical="bottom"/>
    </xf>
    <xf borderId="22" fillId="8" fontId="4" numFmtId="0" xfId="0" applyAlignment="1" applyBorder="1" applyFont="1">
      <alignment vertical="bottom"/>
    </xf>
    <xf borderId="23" fillId="8" fontId="4" numFmtId="0" xfId="0" applyAlignment="1" applyBorder="1" applyFont="1">
      <alignment vertical="bottom"/>
    </xf>
    <xf borderId="24" fillId="8" fontId="4" numFmtId="0" xfId="0" applyAlignment="1" applyBorder="1" applyFont="1">
      <alignment vertical="bottom"/>
    </xf>
    <xf borderId="22" fillId="9" fontId="4" numFmtId="0" xfId="0" applyAlignment="1" applyBorder="1" applyFont="1">
      <alignment vertical="bottom"/>
    </xf>
    <xf borderId="23" fillId="9" fontId="4" numFmtId="0" xfId="0" applyAlignment="1" applyBorder="1" applyFont="1">
      <alignment vertical="bottom"/>
    </xf>
    <xf borderId="24" fillId="9" fontId="4" numFmtId="0" xfId="0" applyAlignment="1" applyBorder="1" applyFont="1">
      <alignment vertical="bottom"/>
    </xf>
    <xf borderId="22" fillId="4" fontId="4" numFmtId="0" xfId="0" applyAlignment="1" applyBorder="1" applyFont="1">
      <alignment vertical="bottom"/>
    </xf>
    <xf borderId="25" fillId="8" fontId="4" numFmtId="0" xfId="0" applyAlignment="1" applyBorder="1" applyFont="1">
      <alignment vertical="bottom"/>
    </xf>
    <xf borderId="8" fillId="10" fontId="4" numFmtId="0" xfId="0" applyAlignment="1" applyBorder="1" applyFont="1">
      <alignment vertical="bottom"/>
    </xf>
    <xf borderId="9" fillId="10" fontId="4" numFmtId="0" xfId="0" applyAlignment="1" applyBorder="1" applyFont="1">
      <alignment vertical="bottom"/>
    </xf>
    <xf borderId="7" fillId="10" fontId="4" numFmtId="0" xfId="0" applyAlignment="1" applyBorder="1" applyFont="1">
      <alignment readingOrder="0" vertical="bottom"/>
    </xf>
    <xf borderId="26" fillId="3" fontId="1" numFmtId="166" xfId="0" applyAlignment="1" applyBorder="1" applyFont="1" applyNumberFormat="1">
      <alignment readingOrder="0" vertical="bottom"/>
    </xf>
    <xf borderId="26" fillId="3" fontId="1" numFmtId="0" xfId="0" applyAlignment="1" applyBorder="1" applyFont="1">
      <alignment readingOrder="0" vertical="bottom"/>
    </xf>
    <xf borderId="26" fillId="4" fontId="1" numFmtId="166" xfId="0" applyAlignment="1" applyBorder="1" applyFont="1" applyNumberFormat="1">
      <alignment readingOrder="0" vertical="bottom"/>
    </xf>
    <xf borderId="26" fillId="4" fontId="1" numFmtId="0" xfId="0" applyAlignment="1" applyBorder="1" applyFont="1">
      <alignment readingOrder="0" vertical="bottom"/>
    </xf>
    <xf borderId="26" fillId="5" fontId="1" numFmtId="167" xfId="0" applyAlignment="1" applyBorder="1" applyFont="1" applyNumberFormat="1">
      <alignment readingOrder="0" vertical="bottom"/>
    </xf>
    <xf borderId="26" fillId="5" fontId="1" numFmtId="0" xfId="0" applyAlignment="1" applyBorder="1" applyFont="1">
      <alignment readingOrder="0" vertical="bottom"/>
    </xf>
    <xf borderId="26" fillId="6" fontId="1" numFmtId="166" xfId="0" applyAlignment="1" applyBorder="1" applyFont="1" applyNumberFormat="1">
      <alignment readingOrder="0" vertical="bottom"/>
    </xf>
    <xf borderId="26" fillId="6" fontId="1" numFmtId="0" xfId="0" applyAlignment="1" applyBorder="1" applyFont="1">
      <alignment readingOrder="0" vertical="bottom"/>
    </xf>
    <xf borderId="26" fillId="7" fontId="1" numFmtId="166" xfId="0" applyAlignment="1" applyBorder="1" applyFont="1" applyNumberFormat="1">
      <alignment vertical="bottom"/>
    </xf>
    <xf borderId="26" fillId="7" fontId="1" numFmtId="0" xfId="0" applyAlignment="1" applyBorder="1" applyFont="1">
      <alignment vertical="bottom"/>
    </xf>
    <xf borderId="26" fillId="8" fontId="1" numFmtId="166" xfId="0" applyAlignment="1" applyBorder="1" applyFont="1" applyNumberFormat="1">
      <alignment readingOrder="0" vertical="bottom"/>
    </xf>
    <xf borderId="26" fillId="8" fontId="1" numFmtId="0" xfId="0" applyAlignment="1" applyBorder="1" applyFont="1">
      <alignment readingOrder="0" vertical="bottom"/>
    </xf>
    <xf borderId="26" fillId="9" fontId="1" numFmtId="166" xfId="0" applyAlignment="1" applyBorder="1" applyFont="1" applyNumberFormat="1">
      <alignment readingOrder="0" vertical="bottom"/>
    </xf>
    <xf borderId="26" fillId="9" fontId="1" numFmtId="0" xfId="0" applyAlignment="1" applyBorder="1" applyFont="1">
      <alignment readingOrder="0" vertical="bottom"/>
    </xf>
    <xf borderId="26" fillId="5" fontId="1" numFmtId="166" xfId="0" applyAlignment="1" applyBorder="1" applyFont="1" applyNumberFormat="1">
      <alignment readingOrder="0" vertical="bottom"/>
    </xf>
    <xf borderId="26" fillId="7" fontId="1" numFmtId="166" xfId="0" applyAlignment="1" applyBorder="1" applyFont="1" applyNumberFormat="1">
      <alignment readingOrder="0" vertical="bottom"/>
    </xf>
    <xf borderId="26" fillId="7" fontId="1" numFmtId="0" xfId="0" applyAlignment="1" applyBorder="1" applyFont="1">
      <alignment readingOrder="0" vertical="bottom"/>
    </xf>
    <xf borderId="27" fillId="10" fontId="1" numFmtId="166" xfId="0" applyAlignment="1" applyBorder="1" applyFont="1" applyNumberFormat="1">
      <alignment readingOrder="0" vertical="bottom"/>
    </xf>
    <xf borderId="28" fillId="10" fontId="1" numFmtId="0" xfId="0" applyAlignment="1" applyBorder="1" applyFont="1">
      <alignment readingOrder="0" vertical="bottom"/>
    </xf>
    <xf borderId="29" fillId="10" fontId="1" numFmtId="0" xfId="0" applyAlignment="1" applyBorder="1" applyFont="1">
      <alignment readingOrder="0" vertical="bottom"/>
    </xf>
    <xf borderId="29" fillId="3" fontId="1" numFmtId="167" xfId="0" applyAlignment="1" applyBorder="1" applyFont="1" applyNumberFormat="1">
      <alignment readingOrder="0" vertical="bottom"/>
    </xf>
    <xf borderId="29" fillId="3" fontId="1" numFmtId="0" xfId="0" applyAlignment="1" applyBorder="1" applyFont="1">
      <alignment readingOrder="0" vertical="bottom"/>
    </xf>
    <xf borderId="29" fillId="4" fontId="1" numFmtId="166" xfId="0" applyAlignment="1" applyBorder="1" applyFont="1" applyNumberFormat="1">
      <alignment readingOrder="0" vertical="bottom"/>
    </xf>
    <xf borderId="29" fillId="4" fontId="1" numFmtId="0" xfId="0" applyAlignment="1" applyBorder="1" applyFont="1">
      <alignment readingOrder="0" vertical="bottom"/>
    </xf>
    <xf borderId="29" fillId="5" fontId="1" numFmtId="167" xfId="0" applyAlignment="1" applyBorder="1" applyFont="1" applyNumberFormat="1">
      <alignment readingOrder="0" vertical="bottom"/>
    </xf>
    <xf borderId="29" fillId="5" fontId="1" numFmtId="0" xfId="0" applyAlignment="1" applyBorder="1" applyFont="1">
      <alignment readingOrder="0" vertical="bottom"/>
    </xf>
    <xf borderId="29" fillId="7" fontId="1" numFmtId="168" xfId="0" applyAlignment="1" applyBorder="1" applyFont="1" applyNumberFormat="1">
      <alignment vertical="bottom"/>
    </xf>
    <xf borderId="29" fillId="7" fontId="1" numFmtId="0" xfId="0" applyAlignment="1" applyBorder="1" applyFont="1">
      <alignment vertical="bottom"/>
    </xf>
    <xf borderId="29" fillId="8" fontId="1" numFmtId="167" xfId="0" applyAlignment="1" applyBorder="1" applyFont="1" applyNumberFormat="1">
      <alignment readingOrder="0" vertical="bottom"/>
    </xf>
    <xf borderId="29" fillId="8" fontId="1" numFmtId="0" xfId="0" applyAlignment="1" applyBorder="1" applyFont="1">
      <alignment readingOrder="0" vertical="bottom"/>
    </xf>
    <xf borderId="29" fillId="9" fontId="1" numFmtId="167" xfId="0" applyAlignment="1" applyBorder="1" applyFont="1" applyNumberFormat="1">
      <alignment readingOrder="0" vertical="bottom"/>
    </xf>
    <xf borderId="29" fillId="9" fontId="1" numFmtId="0" xfId="0" applyAlignment="1" applyBorder="1" applyFont="1">
      <alignment readingOrder="0" vertical="bottom"/>
    </xf>
    <xf borderId="29" fillId="3" fontId="1" numFmtId="166" xfId="0" applyAlignment="1" applyBorder="1" applyFont="1" applyNumberFormat="1">
      <alignment readingOrder="0" vertical="bottom"/>
    </xf>
    <xf borderId="29" fillId="4" fontId="1" numFmtId="168" xfId="0" applyAlignment="1" applyBorder="1" applyFont="1" applyNumberFormat="1">
      <alignment readingOrder="0" vertical="bottom"/>
    </xf>
    <xf borderId="26" fillId="5" fontId="1" numFmtId="166" xfId="0" applyAlignment="1" applyBorder="1" applyFont="1" applyNumberFormat="1">
      <alignment vertical="bottom"/>
    </xf>
    <xf borderId="26" fillId="5" fontId="1" numFmtId="0" xfId="0" applyAlignment="1" applyBorder="1" applyFont="1">
      <alignment vertical="bottom"/>
    </xf>
    <xf borderId="29" fillId="6" fontId="1" numFmtId="168" xfId="0" applyAlignment="1" applyBorder="1" applyFont="1" applyNumberFormat="1">
      <alignment readingOrder="0" vertical="bottom"/>
    </xf>
    <xf borderId="29" fillId="6" fontId="1" numFmtId="0" xfId="0" applyAlignment="1" applyBorder="1" applyFont="1">
      <alignment readingOrder="0" vertical="bottom"/>
    </xf>
    <xf borderId="29" fillId="7" fontId="1" numFmtId="166" xfId="0" applyAlignment="1" applyBorder="1" applyFont="1" applyNumberFormat="1">
      <alignment readingOrder="0" vertical="bottom"/>
    </xf>
    <xf borderId="29" fillId="7" fontId="1" numFmtId="0" xfId="0" applyAlignment="1" applyBorder="1" applyFont="1">
      <alignment readingOrder="0" vertical="bottom"/>
    </xf>
    <xf borderId="29" fillId="8" fontId="1" numFmtId="168" xfId="0" applyAlignment="1" applyBorder="1" applyFont="1" applyNumberFormat="1">
      <alignment readingOrder="0" vertical="bottom"/>
    </xf>
    <xf borderId="27" fillId="8" fontId="1" numFmtId="0" xfId="0" applyAlignment="1" applyBorder="1" applyFont="1">
      <alignment readingOrder="0" vertical="bottom"/>
    </xf>
    <xf borderId="26" fillId="10" fontId="1" numFmtId="166" xfId="0" applyAlignment="1" applyBorder="1" applyFont="1" applyNumberFormat="1">
      <alignment readingOrder="0" vertical="bottom"/>
    </xf>
    <xf borderId="30" fillId="10" fontId="1" numFmtId="0" xfId="0" applyAlignment="1" applyBorder="1" applyFont="1">
      <alignment readingOrder="0" vertical="bottom"/>
    </xf>
    <xf borderId="29" fillId="4" fontId="1" numFmtId="167" xfId="0" applyAlignment="1" applyBorder="1" applyFont="1" applyNumberFormat="1">
      <alignment readingOrder="0" vertical="bottom"/>
    </xf>
    <xf borderId="29" fillId="5" fontId="1" numFmtId="168" xfId="0" applyAlignment="1" applyBorder="1" applyFont="1" applyNumberFormat="1">
      <alignment readingOrder="0" vertical="bottom"/>
    </xf>
    <xf borderId="29" fillId="6" fontId="1" numFmtId="167" xfId="0" applyAlignment="1" applyBorder="1" applyFont="1" applyNumberFormat="1">
      <alignment readingOrder="0" vertical="bottom"/>
    </xf>
    <xf borderId="29" fillId="7" fontId="1" numFmtId="166" xfId="0" applyAlignment="1" applyBorder="1" applyFont="1" applyNumberFormat="1">
      <alignment vertical="bottom"/>
    </xf>
    <xf borderId="29" fillId="5" fontId="1" numFmtId="167" xfId="0" applyAlignment="1" applyBorder="1" applyFont="1" applyNumberFormat="1">
      <alignment vertical="bottom"/>
    </xf>
    <xf borderId="29" fillId="5" fontId="1" numFmtId="0" xfId="0" applyAlignment="1" applyBorder="1" applyFont="1">
      <alignment vertical="bottom"/>
    </xf>
    <xf borderId="29" fillId="6" fontId="1" numFmtId="166" xfId="0" applyAlignment="1" applyBorder="1" applyFont="1" applyNumberFormat="1">
      <alignment readingOrder="0" vertical="bottom"/>
    </xf>
    <xf borderId="29" fillId="7" fontId="1" numFmtId="167" xfId="0" applyAlignment="1" applyBorder="1" applyFont="1" applyNumberFormat="1">
      <alignment readingOrder="0" vertical="bottom"/>
    </xf>
    <xf borderId="29" fillId="10" fontId="1" numFmtId="167" xfId="0" applyAlignment="1" applyBorder="1" applyFont="1" applyNumberFormat="1">
      <alignment readingOrder="0" vertical="bottom"/>
    </xf>
    <xf borderId="29" fillId="3" fontId="1" numFmtId="167" xfId="0" applyAlignment="1" applyBorder="1" applyFont="1" applyNumberFormat="1">
      <alignment vertical="bottom"/>
    </xf>
    <xf borderId="29" fillId="3" fontId="1" numFmtId="0" xfId="0" applyAlignment="1" applyBorder="1" applyFont="1">
      <alignment vertical="bottom"/>
    </xf>
    <xf borderId="29" fillId="6" fontId="1" numFmtId="167" xfId="0" applyAlignment="1" applyBorder="1" applyFont="1" applyNumberFormat="1">
      <alignment vertical="bottom"/>
    </xf>
    <xf borderId="29" fillId="6" fontId="1" numFmtId="0" xfId="0" applyAlignment="1" applyBorder="1" applyFont="1">
      <alignment vertical="bottom"/>
    </xf>
    <xf borderId="29" fillId="9" fontId="1" numFmtId="168" xfId="0" applyAlignment="1" applyBorder="1" applyFont="1" applyNumberFormat="1">
      <alignment readingOrder="0" vertical="bottom"/>
    </xf>
    <xf borderId="29" fillId="4" fontId="1" numFmtId="168" xfId="0" applyAlignment="1" applyBorder="1" applyFont="1" applyNumberFormat="1">
      <alignment vertical="bottom"/>
    </xf>
    <xf borderId="29" fillId="4" fontId="1" numFmtId="0" xfId="0" applyAlignment="1" applyBorder="1" applyFont="1">
      <alignment vertical="bottom"/>
    </xf>
    <xf borderId="29" fillId="5" fontId="1" numFmtId="166" xfId="0" applyAlignment="1" applyBorder="1" applyFont="1" applyNumberFormat="1">
      <alignment vertical="bottom"/>
    </xf>
    <xf borderId="29" fillId="7" fontId="1" numFmtId="168" xfId="0" applyAlignment="1" applyBorder="1" applyFont="1" applyNumberFormat="1">
      <alignment readingOrder="0" vertical="bottom"/>
    </xf>
    <xf borderId="29" fillId="8" fontId="1" numFmtId="166" xfId="0" applyAlignment="1" applyBorder="1" applyFont="1" applyNumberFormat="1">
      <alignment vertical="bottom"/>
    </xf>
    <xf borderId="29" fillId="8" fontId="1" numFmtId="0" xfId="0" applyAlignment="1" applyBorder="1" applyFont="1">
      <alignment vertical="bottom"/>
    </xf>
    <xf borderId="29" fillId="10" fontId="1" numFmtId="166" xfId="0" applyAlignment="1" applyBorder="1" applyFont="1" applyNumberFormat="1">
      <alignment readingOrder="0" vertical="bottom"/>
    </xf>
    <xf borderId="29" fillId="3" fontId="1" numFmtId="168" xfId="0" applyAlignment="1" applyBorder="1" applyFont="1" applyNumberFormat="1">
      <alignment vertical="bottom"/>
    </xf>
    <xf borderId="29" fillId="4" fontId="1" numFmtId="167" xfId="0" applyAlignment="1" applyBorder="1" applyFont="1" applyNumberFormat="1">
      <alignment vertical="bottom"/>
    </xf>
    <xf borderId="29" fillId="5" fontId="1" numFmtId="168" xfId="0" applyAlignment="1" applyBorder="1" applyFont="1" applyNumberFormat="1">
      <alignment vertical="bottom"/>
    </xf>
    <xf borderId="29" fillId="7" fontId="1" numFmtId="167" xfId="0" applyAlignment="1" applyBorder="1" applyFont="1" applyNumberFormat="1">
      <alignment vertical="bottom"/>
    </xf>
    <xf borderId="29" fillId="10" fontId="1" numFmtId="166" xfId="0" applyAlignment="1" applyBorder="1" applyFont="1" applyNumberFormat="1">
      <alignment vertical="bottom"/>
    </xf>
    <xf borderId="30" fillId="10" fontId="1" numFmtId="0" xfId="0" applyAlignment="1" applyBorder="1" applyFont="1">
      <alignment vertical="bottom"/>
    </xf>
    <xf borderId="29" fillId="10" fontId="1" numFmtId="0" xfId="0" applyAlignment="1" applyBorder="1" applyFont="1">
      <alignment vertical="bottom"/>
    </xf>
    <xf borderId="29" fillId="4" fontId="1" numFmtId="166" xfId="0" applyAlignment="1" applyBorder="1" applyFont="1" applyNumberFormat="1">
      <alignment vertical="bottom"/>
    </xf>
    <xf borderId="29" fillId="5" fontId="1" numFmtId="165" xfId="0" applyAlignment="1" applyBorder="1" applyFont="1" applyNumberFormat="1">
      <alignment readingOrder="0" vertical="bottom"/>
    </xf>
    <xf borderId="29" fillId="8" fontId="1" numFmtId="166" xfId="0" applyAlignment="1" applyBorder="1" applyFont="1" applyNumberFormat="1">
      <alignment readingOrder="0" vertical="bottom"/>
    </xf>
    <xf borderId="29" fillId="9" fontId="1" numFmtId="168" xfId="0" applyAlignment="1" applyBorder="1" applyFont="1" applyNumberFormat="1">
      <alignment vertical="bottom"/>
    </xf>
    <xf borderId="29" fillId="9" fontId="1" numFmtId="0" xfId="0" applyAlignment="1" applyBorder="1" applyFont="1">
      <alignment vertical="bottom"/>
    </xf>
    <xf borderId="29" fillId="8" fontId="1" numFmtId="168" xfId="0" applyAlignment="1" applyBorder="1" applyFont="1" applyNumberFormat="1">
      <alignment vertical="bottom"/>
    </xf>
    <xf borderId="29" fillId="10" fontId="1" numFmtId="168" xfId="0" applyAlignment="1" applyBorder="1" applyFont="1" applyNumberFormat="1">
      <alignment vertical="bottom"/>
    </xf>
    <xf borderId="29" fillId="3" fontId="1" numFmtId="166" xfId="0" applyAlignment="1" applyBorder="1" applyFont="1" applyNumberFormat="1">
      <alignment vertical="bottom"/>
    </xf>
    <xf borderId="29" fillId="6" fontId="1" numFmtId="166" xfId="0" applyAlignment="1" applyBorder="1" applyFont="1" applyNumberFormat="1">
      <alignment vertical="bottom"/>
    </xf>
    <xf borderId="29" fillId="6" fontId="1" numFmtId="168" xfId="0" applyAlignment="1" applyBorder="1" applyFont="1" applyNumberFormat="1">
      <alignment vertical="bottom"/>
    </xf>
    <xf borderId="9" fillId="0" fontId="4" numFmtId="0" xfId="0" applyBorder="1" applyFont="1"/>
    <xf borderId="9" fillId="0" fontId="4" numFmtId="0" xfId="0" applyAlignment="1" applyBorder="1" applyFont="1">
      <alignment readingOrder="0"/>
    </xf>
    <xf borderId="9" fillId="0" fontId="4" numFmtId="169" xfId="0" applyAlignment="1" applyBorder="1" applyFont="1" applyNumberFormat="1">
      <alignment readingOrder="0"/>
    </xf>
    <xf borderId="0" fillId="0" fontId="2" numFmtId="169" xfId="0" applyAlignment="1" applyFont="1" applyNumberFormat="1">
      <alignment readingOrder="0"/>
    </xf>
    <xf borderId="9" fillId="0" fontId="2" numFmtId="0" xfId="0" applyAlignment="1" applyBorder="1" applyFont="1">
      <alignment readingOrder="0"/>
    </xf>
    <xf borderId="9" fillId="0" fontId="2" numFmtId="164" xfId="0" applyAlignment="1" applyBorder="1" applyFont="1" applyNumberFormat="1">
      <alignment readingOrder="0"/>
    </xf>
    <xf borderId="9" fillId="0" fontId="2" numFmtId="169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7" fillId="0" fontId="2" numFmtId="0" xfId="0" applyAlignment="1" applyBorder="1" applyFont="1">
      <alignment readingOrder="0"/>
    </xf>
    <xf borderId="31" fillId="0" fontId="2" numFmtId="2" xfId="0" applyBorder="1" applyFont="1" applyNumberFormat="1"/>
    <xf borderId="0" fillId="0" fontId="4" numFmtId="2" xfId="0" applyFont="1" applyNumberFormat="1"/>
    <xf borderId="7" fillId="0" fontId="2" numFmtId="0" xfId="0" applyBorder="1" applyFont="1"/>
    <xf borderId="0" fillId="0" fontId="2" numFmtId="2" xfId="0" applyAlignment="1" applyFont="1" applyNumberFormat="1">
      <alignment readingOrder="0"/>
    </xf>
    <xf borderId="7" fillId="2" fontId="8" numFmtId="0" xfId="0" applyAlignment="1" applyBorder="1" applyFont="1">
      <alignment readingOrder="0"/>
    </xf>
    <xf borderId="0" fillId="0" fontId="2" numFmtId="2" xfId="0" applyFont="1" applyNumberFormat="1"/>
    <xf borderId="4" fillId="0" fontId="2" numFmtId="0" xfId="0" applyBorder="1" applyFont="1"/>
    <xf borderId="7" fillId="2" fontId="8" numFmtId="0" xfId="0" applyBorder="1" applyFont="1"/>
    <xf borderId="7" fillId="0" fontId="2" numFmtId="2" xfId="0" applyBorder="1" applyFont="1" applyNumberFormat="1"/>
    <xf borderId="21" fillId="0" fontId="2" numFmtId="0" xfId="0" applyBorder="1" applyFont="1"/>
    <xf borderId="0" fillId="2" fontId="8" numFmtId="0" xfId="0" applyFont="1"/>
    <xf borderId="7" fillId="0" fontId="2" numFmtId="2" xfId="0" applyAlignment="1" applyBorder="1" applyFont="1" applyNumberFormat="1">
      <alignment readingOrder="0"/>
    </xf>
    <xf borderId="7" fillId="2" fontId="8" numFmtId="2" xfId="0" applyBorder="1" applyFont="1" applyNumberFormat="1"/>
    <xf borderId="0" fillId="0" fontId="4" numFmtId="2" xfId="0" applyAlignment="1" applyFont="1" applyNumberFormat="1">
      <alignment readingOrder="0"/>
    </xf>
    <xf borderId="7" fillId="2" fontId="8" numFmtId="2" xfId="0" applyAlignment="1" applyBorder="1" applyFont="1" applyNumberFormat="1">
      <alignment readingOrder="0"/>
    </xf>
    <xf borderId="21" fillId="0" fontId="2" numFmtId="0" xfId="0" applyAlignment="1" applyBorder="1" applyFont="1">
      <alignment readingOrder="0"/>
    </xf>
    <xf borderId="0" fillId="0" fontId="2" numFmtId="0" xfId="0" applyFont="1"/>
    <xf borderId="9" fillId="0" fontId="2" numFmtId="167" xfId="0" applyAlignment="1" applyBorder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0" xfId="0" applyFont="1"/>
    <xf borderId="9" fillId="0" fontId="2" numFmtId="0" xfId="0" applyBorder="1" applyFont="1"/>
    <xf borderId="9" fillId="0" fontId="4" numFmtId="166" xfId="0" applyBorder="1" applyFont="1" applyNumberFormat="1"/>
    <xf borderId="0" fillId="0" fontId="4" numFmtId="166" xfId="0" applyFont="1" applyNumberFormat="1"/>
    <xf borderId="0" fillId="0" fontId="4" numFmtId="0" xfId="0" applyFont="1"/>
    <xf borderId="0" fillId="0" fontId="4" numFmtId="16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7" fillId="0" fontId="4" numFmtId="0" xfId="0" applyBorder="1" applyFont="1"/>
    <xf borderId="31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0" fillId="0" fontId="4" numFmtId="168" xfId="0" applyAlignment="1" applyFont="1" applyNumberFormat="1">
      <alignment readingOrder="0"/>
    </xf>
    <xf borderId="21" fillId="0" fontId="4" numFmtId="168" xfId="0" applyAlignment="1" applyBorder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21" fillId="0" fontId="2" numFmtId="166" xfId="0" applyAlignment="1" applyBorder="1" applyFont="1" applyNumberFormat="1">
      <alignment readingOrder="0"/>
    </xf>
    <xf borderId="0" fillId="0" fontId="2" numFmtId="168" xfId="0" applyAlignment="1" applyFont="1" applyNumberFormat="1">
      <alignment readingOrder="0"/>
    </xf>
    <xf borderId="32" fillId="0" fontId="2" numFmtId="168" xfId="0" applyAlignment="1" applyBorder="1" applyFont="1" applyNumberFormat="1">
      <alignment readingOrder="0"/>
    </xf>
    <xf borderId="16" fillId="0" fontId="2" numFmtId="0" xfId="0" applyAlignment="1" applyBorder="1" applyFont="1">
      <alignment readingOrder="0"/>
    </xf>
    <xf borderId="33" fillId="0" fontId="2" numFmtId="2" xfId="0" applyBorder="1" applyFont="1" applyNumberFormat="1"/>
    <xf borderId="15" fillId="0" fontId="2" numFmtId="0" xfId="0" applyBorder="1" applyFont="1"/>
    <xf borderId="16" fillId="0" fontId="2" numFmtId="0" xfId="0" applyBorder="1" applyFont="1"/>
    <xf borderId="15" fillId="0" fontId="2" numFmtId="2" xfId="0" applyAlignment="1" applyBorder="1" applyFont="1" applyNumberFormat="1">
      <alignment readingOrder="0"/>
    </xf>
    <xf borderId="15" fillId="2" fontId="9" numFmtId="0" xfId="0" applyAlignment="1" applyBorder="1" applyFont="1">
      <alignment horizontal="left" readingOrder="0"/>
    </xf>
    <xf borderId="15" fillId="0" fontId="2" numFmtId="0" xfId="0" applyAlignment="1" applyBorder="1" applyFont="1">
      <alignment readingOrder="0"/>
    </xf>
    <xf borderId="16" fillId="2" fontId="8" numFmtId="0" xfId="0" applyAlignment="1" applyBorder="1" applyFont="1">
      <alignment readingOrder="0"/>
    </xf>
    <xf borderId="16" fillId="2" fontId="8" numFmtId="0" xfId="0" applyBorder="1" applyFont="1"/>
    <xf borderId="0" fillId="2" fontId="8" numFmtId="0" xfId="0" applyAlignment="1" applyFont="1">
      <alignment readingOrder="0"/>
    </xf>
    <xf borderId="32" fillId="2" fontId="8" numFmtId="0" xfId="0" applyAlignment="1" applyBorder="1" applyFont="1">
      <alignment readingOrder="0"/>
    </xf>
    <xf borderId="7" fillId="0" fontId="4" numFmtId="2" xfId="0" applyAlignment="1" applyBorder="1" applyFont="1" applyNumberFormat="1">
      <alignment readingOrder="0"/>
    </xf>
    <xf borderId="0" fillId="2" fontId="10" numFmtId="0" xfId="0" applyAlignment="1" applyFont="1">
      <alignment horizontal="left" readingOrder="0"/>
    </xf>
    <xf borderId="0" fillId="2" fontId="8" numFmtId="2" xfId="0" applyFont="1" applyNumberFormat="1"/>
    <xf borderId="32" fillId="2" fontId="8" numFmtId="2" xfId="0" applyAlignment="1" applyBorder="1" applyFont="1" applyNumberFormat="1">
      <alignment readingOrder="0"/>
    </xf>
    <xf borderId="21" fillId="0" fontId="2" numFmtId="2" xfId="0" applyAlignment="1" applyBorder="1" applyFont="1" applyNumberFormat="1">
      <alignment readingOrder="0"/>
    </xf>
    <xf borderId="32" fillId="2" fontId="8" numFmtId="0" xfId="0" applyBorder="1" applyFont="1"/>
    <xf borderId="0" fillId="2" fontId="9" numFmtId="0" xfId="0" applyAlignment="1" applyFont="1">
      <alignment horizontal="left" readingOrder="0"/>
    </xf>
    <xf borderId="0" fillId="2" fontId="11" numFmtId="0" xfId="0" applyAlignment="1" applyFont="1">
      <alignment horizontal="left" readingOrder="0"/>
    </xf>
    <xf borderId="0" fillId="2" fontId="8" numFmtId="2" xfId="0" applyAlignment="1" applyFont="1" applyNumberFormat="1">
      <alignment readingOrder="0"/>
    </xf>
    <xf borderId="0" fillId="2" fontId="9" numFmtId="0" xfId="0" applyAlignment="1" applyFont="1">
      <alignment horizontal="righ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</dxfs>
  <tableStyles count="2">
    <tableStyle count="4" pivot="0" name="2026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5H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b="0">
                <a:solidFill>
                  <a:srgbClr val="757575"/>
                </a:solidFill>
                <a:latin typeface="Arial black"/>
              </a:rPr>
              <a:t>Progresjon Grottechug 2023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'2023H'!$B$60</c:f>
            </c:strRef>
          </c:tx>
          <c:spPr>
            <a:ln cmpd="sng" w="38100">
              <a:solidFill>
                <a:srgbClr val="4285F4"/>
              </a:solidFill>
              <a:prstDash val="solid"/>
            </a:ln>
          </c:spPr>
          <c:marker>
            <c:symbol val="none"/>
          </c:marker>
          <c:cat>
            <c:strRef>
              <c:f>'2023H'!$C$59:$K$59</c:f>
            </c:strRef>
          </c:cat>
          <c:val>
            <c:numRef>
              <c:f>'2023H'!$C$60:$K$60</c:f>
              <c:numCache/>
            </c:numRef>
          </c:val>
          <c:smooth val="0"/>
        </c:ser>
        <c:ser>
          <c:idx val="1"/>
          <c:order val="1"/>
          <c:tx>
            <c:strRef>
              <c:f>'2023H'!$B$61</c:f>
            </c:strRef>
          </c:tx>
          <c:spPr>
            <a:ln cmpd="sng" w="38100">
              <a:solidFill>
                <a:srgbClr val="EA4335"/>
              </a:solidFill>
              <a:prstDash val="solid"/>
            </a:ln>
          </c:spPr>
          <c:marker>
            <c:symbol val="none"/>
          </c:marker>
          <c:cat>
            <c:strRef>
              <c:f>'2023H'!$C$59:$K$59</c:f>
            </c:strRef>
          </c:cat>
          <c:val>
            <c:numRef>
              <c:f>'2023H'!$C$61:$K$61</c:f>
              <c:numCache/>
            </c:numRef>
          </c:val>
          <c:smooth val="0"/>
        </c:ser>
        <c:ser>
          <c:idx val="2"/>
          <c:order val="2"/>
          <c:tx>
            <c:strRef>
              <c:f>'2023H'!$B$62</c:f>
            </c:strRef>
          </c:tx>
          <c:spPr>
            <a:ln cmpd="sng" w="38100">
              <a:solidFill>
                <a:srgbClr val="FBBC04"/>
              </a:solidFill>
              <a:prstDash val="solid"/>
            </a:ln>
          </c:spPr>
          <c:marker>
            <c:symbol val="none"/>
          </c:marker>
          <c:cat>
            <c:strRef>
              <c:f>'2023H'!$C$59:$K$59</c:f>
            </c:strRef>
          </c:cat>
          <c:val>
            <c:numRef>
              <c:f>'2023H'!$C$62:$K$62</c:f>
              <c:numCache/>
            </c:numRef>
          </c:val>
          <c:smooth val="0"/>
        </c:ser>
        <c:ser>
          <c:idx val="3"/>
          <c:order val="3"/>
          <c:tx>
            <c:strRef>
              <c:f>'2023H'!$B$63</c:f>
            </c:strRef>
          </c:tx>
          <c:spPr>
            <a:ln cmpd="sng" w="38100">
              <a:solidFill>
                <a:srgbClr val="34A853"/>
              </a:solidFill>
              <a:prstDash val="solid"/>
            </a:ln>
          </c:spPr>
          <c:marker>
            <c:symbol val="none"/>
          </c:marker>
          <c:cat>
            <c:strRef>
              <c:f>'2023H'!$C$59:$K$59</c:f>
            </c:strRef>
          </c:cat>
          <c:val>
            <c:numRef>
              <c:f>'2023H'!$C$63:$K$63</c:f>
              <c:numCache/>
            </c:numRef>
          </c:val>
          <c:smooth val="0"/>
        </c:ser>
        <c:ser>
          <c:idx val="4"/>
          <c:order val="4"/>
          <c:tx>
            <c:strRef>
              <c:f>'2023H'!$B$64</c:f>
            </c:strRef>
          </c:tx>
          <c:spPr>
            <a:ln cmpd="sng" w="38100">
              <a:solidFill>
                <a:srgbClr val="FF6D01"/>
              </a:solidFill>
              <a:prstDash val="solid"/>
            </a:ln>
          </c:spPr>
          <c:marker>
            <c:symbol val="none"/>
          </c:marker>
          <c:cat>
            <c:strRef>
              <c:f>'2023H'!$C$59:$K$59</c:f>
            </c:strRef>
          </c:cat>
          <c:val>
            <c:numRef>
              <c:f>'2023H'!$C$64:$K$64</c:f>
              <c:numCache/>
            </c:numRef>
          </c:val>
          <c:smooth val="0"/>
        </c:ser>
        <c:ser>
          <c:idx val="5"/>
          <c:order val="5"/>
          <c:tx>
            <c:strRef>
              <c:f>'2023H'!$B$65</c:f>
            </c:strRef>
          </c:tx>
          <c:spPr>
            <a:ln cmpd="sng" w="38100">
              <a:solidFill>
                <a:srgbClr val="46BDC6"/>
              </a:solidFill>
              <a:prstDash val="solid"/>
            </a:ln>
          </c:spPr>
          <c:marker>
            <c:symbol val="none"/>
          </c:marker>
          <c:cat>
            <c:strRef>
              <c:f>'2023H'!$C$59:$K$59</c:f>
            </c:strRef>
          </c:cat>
          <c:val>
            <c:numRef>
              <c:f>'2023H'!$C$65:$K$65</c:f>
              <c:numCache/>
            </c:numRef>
          </c:val>
          <c:smooth val="0"/>
        </c:ser>
        <c:ser>
          <c:idx val="6"/>
          <c:order val="6"/>
          <c:tx>
            <c:strRef>
              <c:f>'2023H'!$B$66</c:f>
            </c:strRef>
          </c:tx>
          <c:spPr>
            <a:ln cmpd="sng" w="38100">
              <a:solidFill>
                <a:srgbClr val="7BAAF7"/>
              </a:solidFill>
              <a:prstDash val="solid"/>
            </a:ln>
          </c:spPr>
          <c:marker>
            <c:symbol val="none"/>
          </c:marker>
          <c:cat>
            <c:strRef>
              <c:f>'2023H'!$C$59:$K$59</c:f>
            </c:strRef>
          </c:cat>
          <c:val>
            <c:numRef>
              <c:f>'2023H'!$C$66:$K$66</c:f>
              <c:numCache/>
            </c:numRef>
          </c:val>
          <c:smooth val="0"/>
        </c:ser>
        <c:ser>
          <c:idx val="7"/>
          <c:order val="7"/>
          <c:tx>
            <c:strRef>
              <c:f>'2023H'!$B$67</c:f>
            </c:strRef>
          </c:tx>
          <c:spPr>
            <a:ln cmpd="sng" w="38100">
              <a:solidFill>
                <a:srgbClr val="F07B72"/>
              </a:solidFill>
              <a:prstDash val="solid"/>
            </a:ln>
          </c:spPr>
          <c:marker>
            <c:symbol val="none"/>
          </c:marker>
          <c:cat>
            <c:strRef>
              <c:f>'2023H'!$C$59:$K$59</c:f>
            </c:strRef>
          </c:cat>
          <c:val>
            <c:numRef>
              <c:f>'2023H'!$C$67:$K$67</c:f>
              <c:numCache/>
            </c:numRef>
          </c:val>
          <c:smooth val="0"/>
        </c:ser>
        <c:ser>
          <c:idx val="8"/>
          <c:order val="8"/>
          <c:tx>
            <c:strRef>
              <c:f>'2023H'!$B$68</c:f>
            </c:strRef>
          </c:tx>
          <c:spPr>
            <a:ln cmpd="sng" w="38100">
              <a:solidFill>
                <a:srgbClr val="FCD04F"/>
              </a:solidFill>
              <a:prstDash val="solid"/>
            </a:ln>
          </c:spPr>
          <c:marker>
            <c:symbol val="none"/>
          </c:marker>
          <c:cat>
            <c:strRef>
              <c:f>'2023H'!$C$59:$K$59</c:f>
            </c:strRef>
          </c:cat>
          <c:val>
            <c:numRef>
              <c:f>'2023H'!$C$68:$K$68</c:f>
              <c:numCache/>
            </c:numRef>
          </c:val>
          <c:smooth val="0"/>
        </c:ser>
        <c:ser>
          <c:idx val="9"/>
          <c:order val="9"/>
          <c:tx>
            <c:strRef>
              <c:f>'2023H'!$B$69</c:f>
            </c:strRef>
          </c:tx>
          <c:spPr>
            <a:ln cmpd="sng" w="38100">
              <a:solidFill>
                <a:srgbClr val="71C287"/>
              </a:solidFill>
              <a:prstDash val="solid"/>
            </a:ln>
          </c:spPr>
          <c:marker>
            <c:symbol val="none"/>
          </c:marker>
          <c:cat>
            <c:strRef>
              <c:f>'2023H'!$C$59:$K$59</c:f>
            </c:strRef>
          </c:cat>
          <c:val>
            <c:numRef>
              <c:f>'2023H'!$C$69:$K$69</c:f>
              <c:numCache/>
            </c:numRef>
          </c:val>
          <c:smooth val="0"/>
        </c:ser>
        <c:ser>
          <c:idx val="10"/>
          <c:order val="10"/>
          <c:tx>
            <c:strRef>
              <c:f>'2023H'!$B$70</c:f>
            </c:strRef>
          </c:tx>
          <c:spPr>
            <a:ln cmpd="sng" w="38100">
              <a:solidFill>
                <a:srgbClr val="FF994D"/>
              </a:solidFill>
              <a:prstDash val="solid"/>
            </a:ln>
          </c:spPr>
          <c:marker>
            <c:symbol val="none"/>
          </c:marker>
          <c:cat>
            <c:strRef>
              <c:f>'2023H'!$C$59:$K$59</c:f>
            </c:strRef>
          </c:cat>
          <c:val>
            <c:numRef>
              <c:f>'2023H'!$C$70:$K$70</c:f>
              <c:numCache/>
            </c:numRef>
          </c:val>
          <c:smooth val="0"/>
        </c:ser>
        <c:ser>
          <c:idx val="11"/>
          <c:order val="11"/>
          <c:tx>
            <c:strRef>
              <c:f>'2023H'!$B$71</c:f>
            </c:strRef>
          </c:tx>
          <c:spPr>
            <a:ln cmpd="sng" w="38100">
              <a:solidFill>
                <a:srgbClr val="7ED1D7"/>
              </a:solidFill>
              <a:prstDash val="solid"/>
            </a:ln>
          </c:spPr>
          <c:marker>
            <c:symbol val="none"/>
          </c:marker>
          <c:cat>
            <c:strRef>
              <c:f>'2023H'!$C$59:$K$59</c:f>
            </c:strRef>
          </c:cat>
          <c:val>
            <c:numRef>
              <c:f>'2023H'!$C$71:$K$71</c:f>
              <c:numCache/>
            </c:numRef>
          </c:val>
          <c:smooth val="0"/>
        </c:ser>
        <c:ser>
          <c:idx val="12"/>
          <c:order val="12"/>
          <c:tx>
            <c:strRef>
              <c:f>'2023H'!$B$72</c:f>
            </c:strRef>
          </c:tx>
          <c:spPr>
            <a:ln cmpd="sng" w="38100">
              <a:solidFill>
                <a:srgbClr val="B3CEFB"/>
              </a:solidFill>
              <a:prstDash val="solid"/>
            </a:ln>
          </c:spPr>
          <c:marker>
            <c:symbol val="none"/>
          </c:marker>
          <c:cat>
            <c:strRef>
              <c:f>'2023H'!$C$59:$K$59</c:f>
            </c:strRef>
          </c:cat>
          <c:val>
            <c:numRef>
              <c:f>'2023H'!$C$72:$K$72</c:f>
              <c:numCache/>
            </c:numRef>
          </c:val>
          <c:smooth val="0"/>
        </c:ser>
        <c:ser>
          <c:idx val="13"/>
          <c:order val="13"/>
          <c:tx>
            <c:strRef>
              <c:f>'2023H'!$B$73</c:f>
            </c:strRef>
          </c:tx>
          <c:spPr>
            <a:ln cmpd="sng" w="38100">
              <a:solidFill>
                <a:srgbClr val="F7B4AE"/>
              </a:solidFill>
              <a:prstDash val="solid"/>
            </a:ln>
          </c:spPr>
          <c:marker>
            <c:symbol val="none"/>
          </c:marker>
          <c:cat>
            <c:strRef>
              <c:f>'2023H'!$C$59:$K$59</c:f>
            </c:strRef>
          </c:cat>
          <c:val>
            <c:numRef>
              <c:f>'2023H'!$C$73:$K$73</c:f>
              <c:numCache/>
            </c:numRef>
          </c:val>
          <c:smooth val="0"/>
        </c:ser>
        <c:ser>
          <c:idx val="14"/>
          <c:order val="14"/>
          <c:tx>
            <c:strRef>
              <c:f>'2023H'!$B$74</c:f>
            </c:strRef>
          </c:tx>
          <c:spPr>
            <a:ln cmpd="sng" w="38100">
              <a:solidFill>
                <a:srgbClr val="FDE49B"/>
              </a:solidFill>
              <a:prstDash val="solid"/>
            </a:ln>
          </c:spPr>
          <c:marker>
            <c:symbol val="none"/>
          </c:marker>
          <c:cat>
            <c:strRef>
              <c:f>'2023H'!$C$59:$K$59</c:f>
            </c:strRef>
          </c:cat>
          <c:val>
            <c:numRef>
              <c:f>'2023H'!$C$74:$K$74</c:f>
              <c:numCache/>
            </c:numRef>
          </c:val>
          <c:smooth val="0"/>
        </c:ser>
        <c:ser>
          <c:idx val="15"/>
          <c:order val="15"/>
          <c:tx>
            <c:strRef>
              <c:f>'2023H'!$B$75</c:f>
            </c:strRef>
          </c:tx>
          <c:spPr>
            <a:ln cmpd="sng" w="38100">
              <a:solidFill>
                <a:srgbClr val="AEDCBA"/>
              </a:solidFill>
              <a:prstDash val="solid"/>
            </a:ln>
          </c:spPr>
          <c:marker>
            <c:symbol val="none"/>
          </c:marker>
          <c:cat>
            <c:strRef>
              <c:f>'2023H'!$C$59:$K$59</c:f>
            </c:strRef>
          </c:cat>
          <c:val>
            <c:numRef>
              <c:f>'2023H'!$C$75:$K$75</c:f>
              <c:numCache/>
            </c:numRef>
          </c:val>
          <c:smooth val="0"/>
        </c:ser>
        <c:ser>
          <c:idx val="16"/>
          <c:order val="16"/>
          <c:tx>
            <c:strRef>
              <c:f>'2023H'!$B$76</c:f>
            </c:strRef>
          </c:tx>
          <c:spPr>
            <a:ln cmpd="sng" w="38100">
              <a:solidFill>
                <a:srgbClr val="FFC599"/>
              </a:solidFill>
              <a:prstDash val="solid"/>
            </a:ln>
          </c:spPr>
          <c:marker>
            <c:symbol val="none"/>
          </c:marker>
          <c:cat>
            <c:strRef>
              <c:f>'2023H'!$C$59:$K$59</c:f>
            </c:strRef>
          </c:cat>
          <c:val>
            <c:numRef>
              <c:f>'2023H'!$C$76:$K$76</c:f>
              <c:numCache/>
            </c:numRef>
          </c:val>
          <c:smooth val="0"/>
        </c:ser>
        <c:ser>
          <c:idx val="17"/>
          <c:order val="17"/>
          <c:tx>
            <c:strRef>
              <c:f>'2023H'!$B$77</c:f>
            </c:strRef>
          </c:tx>
          <c:spPr>
            <a:ln cmpd="sng" w="38100">
              <a:solidFill>
                <a:srgbClr val="B5E5E8"/>
              </a:solidFill>
              <a:prstDash val="solid"/>
            </a:ln>
          </c:spPr>
          <c:marker>
            <c:symbol val="none"/>
          </c:marker>
          <c:cat>
            <c:strRef>
              <c:f>'2023H'!$C$59:$K$59</c:f>
            </c:strRef>
          </c:cat>
          <c:val>
            <c:numRef>
              <c:f>'2023H'!$C$77:$K$77</c:f>
              <c:numCache/>
            </c:numRef>
          </c:val>
          <c:smooth val="0"/>
        </c:ser>
        <c:ser>
          <c:idx val="18"/>
          <c:order val="18"/>
          <c:tx>
            <c:strRef>
              <c:f>'2023H'!$B$78</c:f>
            </c:strRef>
          </c:tx>
          <c:spPr>
            <a:ln cmpd="sng" w="38100">
              <a:solidFill>
                <a:srgbClr val="ECF3FE"/>
              </a:solidFill>
              <a:prstDash val="solid"/>
            </a:ln>
          </c:spPr>
          <c:marker>
            <c:symbol val="none"/>
          </c:marker>
          <c:cat>
            <c:strRef>
              <c:f>'2023H'!$C$59:$K$59</c:f>
            </c:strRef>
          </c:cat>
          <c:val>
            <c:numRef>
              <c:f>'2023H'!$C$78:$K$78</c:f>
              <c:numCache/>
            </c:numRef>
          </c:val>
          <c:smooth val="0"/>
        </c:ser>
        <c:axId val="1211532184"/>
        <c:axId val="1646902535"/>
      </c:lineChart>
      <c:catAx>
        <c:axId val="1211532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6902535"/>
      </c:catAx>
      <c:valAx>
        <c:axId val="1646902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1532184"/>
      </c:valAx>
    </c:plotArea>
    <c:legend>
      <c:legendPos val="r"/>
      <c:layout>
        <c:manualLayout>
          <c:xMode val="edge"/>
          <c:yMode val="edge"/>
          <c:x val="0.9115976535541752"/>
          <c:y val="0.1031237873496313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'2023H'!$B$60</c:f>
            </c:strRef>
          </c:tx>
          <c:spPr>
            <a:ln cmpd="sng" w="38100">
              <a:solidFill>
                <a:srgbClr val="4285F4"/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Trendlinje for Baglo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cat>
            <c:strRef>
              <c:f>'2023H'!$C$59:$K$59</c:f>
            </c:strRef>
          </c:cat>
          <c:val>
            <c:numRef>
              <c:f>'2023H'!$C$60:$K$60</c:f>
              <c:numCache/>
            </c:numRef>
          </c:val>
          <c:smooth val="0"/>
        </c:ser>
        <c:axId val="939750975"/>
        <c:axId val="723014328"/>
      </c:lineChart>
      <c:catAx>
        <c:axId val="939750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3014328"/>
      </c:catAx>
      <c:valAx>
        <c:axId val="7230143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97509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'2023H'!$B$61</c:f>
            </c:strRef>
          </c:tx>
          <c:spPr>
            <a:ln cmpd="sng" w="38100">
              <a:solidFill>
                <a:srgbClr val="4285F4"/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Trendlinje for Vemund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cat>
            <c:strRef>
              <c:f>'2023H'!$C$59:$K$59</c:f>
            </c:strRef>
          </c:cat>
          <c:val>
            <c:numRef>
              <c:f>'2023H'!$C$61:$K$61</c:f>
              <c:numCache/>
            </c:numRef>
          </c:val>
          <c:smooth val="0"/>
        </c:ser>
        <c:axId val="227884799"/>
        <c:axId val="135607726"/>
      </c:lineChart>
      <c:catAx>
        <c:axId val="227884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607726"/>
      </c:catAx>
      <c:valAx>
        <c:axId val="135607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78847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'2023H'!$B$62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Trendlinje for Kasper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cat>
            <c:strRef>
              <c:f>'2023H'!$C$59:$K$59</c:f>
            </c:strRef>
          </c:cat>
          <c:val>
            <c:numRef>
              <c:f>'2023H'!$C$62:$K$62</c:f>
              <c:numCache/>
            </c:numRef>
          </c:val>
          <c:smooth val="0"/>
        </c:ser>
        <c:axId val="361652229"/>
        <c:axId val="1650765173"/>
      </c:lineChart>
      <c:catAx>
        <c:axId val="3616522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0765173"/>
      </c:catAx>
      <c:valAx>
        <c:axId val="16507651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16522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'2023H'!$B$63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Trendlinje for Jens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cat>
            <c:strRef>
              <c:f>'2023H'!$C$59:$K$59</c:f>
            </c:strRef>
          </c:cat>
          <c:val>
            <c:numRef>
              <c:f>'2023H'!$C$63:$K$63</c:f>
              <c:numCache/>
            </c:numRef>
          </c:val>
          <c:smooth val="0"/>
        </c:ser>
        <c:axId val="1328489587"/>
        <c:axId val="2146812390"/>
      </c:lineChart>
      <c:catAx>
        <c:axId val="1328489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6812390"/>
      </c:catAx>
      <c:valAx>
        <c:axId val="21468123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84895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'2023H'!$B$64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Trendlinje for Bonde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cat>
            <c:strRef>
              <c:f>'2023H'!$C$59:$K$59</c:f>
            </c:strRef>
          </c:cat>
          <c:val>
            <c:numRef>
              <c:f>'2023H'!$C$64:$K$64</c:f>
              <c:numCache/>
            </c:numRef>
          </c:val>
          <c:smooth val="0"/>
        </c:ser>
        <c:axId val="1359560103"/>
        <c:axId val="338764865"/>
      </c:lineChart>
      <c:catAx>
        <c:axId val="1359560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8764865"/>
      </c:catAx>
      <c:valAx>
        <c:axId val="338764865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95601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'2023H'!$B$65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Trendlinje for Nils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cat>
            <c:strRef>
              <c:f>'2023H'!$C$59:$K$59</c:f>
            </c:strRef>
          </c:cat>
          <c:val>
            <c:numRef>
              <c:f>'2023H'!$C$65:$K$65</c:f>
              <c:numCache/>
            </c:numRef>
          </c:val>
          <c:smooth val="0"/>
        </c:ser>
        <c:axId val="1063706232"/>
        <c:axId val="1608519852"/>
      </c:lineChart>
      <c:catAx>
        <c:axId val="1063706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8519852"/>
      </c:catAx>
      <c:valAx>
        <c:axId val="1608519852"/>
        <c:scaling>
          <c:orientation val="minMax"/>
          <c:max val="1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37062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'2023H'!$B$66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Trendlinje for Galler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cat>
            <c:strRef>
              <c:f>'2023H'!$C$59:$J$59</c:f>
            </c:strRef>
          </c:cat>
          <c:val>
            <c:numRef>
              <c:f>'2023H'!$C$66:$J$66</c:f>
              <c:numCache/>
            </c:numRef>
          </c:val>
          <c:smooth val="0"/>
        </c:ser>
        <c:axId val="1687341098"/>
        <c:axId val="1853709444"/>
      </c:lineChart>
      <c:catAx>
        <c:axId val="16873410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3709444"/>
      </c:catAx>
      <c:valAx>
        <c:axId val="1853709444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73410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'2023H'!$B$67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Trendlinje for Even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cat>
            <c:strRef>
              <c:f>'2023H'!$C$59:$J$59</c:f>
            </c:strRef>
          </c:cat>
          <c:val>
            <c:numRef>
              <c:f>'2023H'!$C$67:$J$67</c:f>
              <c:numCache/>
            </c:numRef>
          </c:val>
          <c:smooth val="0"/>
        </c:ser>
        <c:axId val="559581216"/>
        <c:axId val="1589740732"/>
      </c:lineChart>
      <c:catAx>
        <c:axId val="559581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9740732"/>
      </c:catAx>
      <c:valAx>
        <c:axId val="1589740732"/>
        <c:scaling>
          <c:orientation val="minMax"/>
          <c:min val="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95812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'2023H'!$B$68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Trendlinje for Ingvil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cat>
            <c:strRef>
              <c:f>'2023H'!$C$59:$K$59</c:f>
            </c:strRef>
          </c:cat>
          <c:val>
            <c:numRef>
              <c:f>'2023H'!$C$68:$K$68</c:f>
              <c:numCache/>
            </c:numRef>
          </c:val>
          <c:smooth val="0"/>
        </c:ser>
        <c:axId val="916086646"/>
        <c:axId val="1663668647"/>
      </c:lineChart>
      <c:catAx>
        <c:axId val="9160866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3668647"/>
      </c:catAx>
      <c:valAx>
        <c:axId val="1663668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60866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'2023H'!$B$69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Trendlinje for Robert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cat>
            <c:strRef>
              <c:f>'2023H'!$C$59:$K$59</c:f>
            </c:strRef>
          </c:cat>
          <c:val>
            <c:numRef>
              <c:f>'2023H'!$C$69:$K$69</c:f>
              <c:numCache/>
            </c:numRef>
          </c:val>
          <c:smooth val="0"/>
        </c:ser>
        <c:axId val="743078246"/>
        <c:axId val="680533042"/>
      </c:lineChart>
      <c:catAx>
        <c:axId val="7430782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0533042"/>
      </c:catAx>
      <c:valAx>
        <c:axId val="6805330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30782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'2023H'!$B$70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Trendlinje for Fredrik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cat>
            <c:strRef>
              <c:f>'2023H'!$C$59:$K$59</c:f>
            </c:strRef>
          </c:cat>
          <c:val>
            <c:numRef>
              <c:f>'2023H'!$C$70:$K$70</c:f>
              <c:numCache/>
            </c:numRef>
          </c:val>
          <c:smooth val="0"/>
        </c:ser>
        <c:axId val="2091022440"/>
        <c:axId val="1107589644"/>
      </c:lineChart>
      <c:catAx>
        <c:axId val="2091022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7589644"/>
      </c:catAx>
      <c:valAx>
        <c:axId val="1107589644"/>
        <c:scaling>
          <c:orientation val="minMax"/>
          <c:max val="1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10224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'2023H'!$B$71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Trendlinje for Sigurd S.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cat>
            <c:strRef>
              <c:f>'2023H'!$C$59:$K$59</c:f>
            </c:strRef>
          </c:cat>
          <c:val>
            <c:numRef>
              <c:f>'2023H'!$C$71:$K$71</c:f>
              <c:numCache/>
            </c:numRef>
          </c:val>
          <c:smooth val="0"/>
        </c:ser>
        <c:axId val="1367574476"/>
        <c:axId val="428145468"/>
      </c:lineChart>
      <c:catAx>
        <c:axId val="1367574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8145468"/>
      </c:catAx>
      <c:valAx>
        <c:axId val="428145468"/>
        <c:scaling>
          <c:orientation val="minMax"/>
          <c:min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75744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'2023H'!$B$72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Trendlinje for Kristian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cat>
            <c:strRef>
              <c:f>'2023H'!$C$59:$K$59</c:f>
            </c:strRef>
          </c:cat>
          <c:val>
            <c:numRef>
              <c:f>'2023H'!$C$72:$K$72</c:f>
              <c:numCache/>
            </c:numRef>
          </c:val>
          <c:smooth val="0"/>
        </c:ser>
        <c:axId val="1964325029"/>
        <c:axId val="913726119"/>
      </c:lineChart>
      <c:catAx>
        <c:axId val="19643250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3726119"/>
      </c:catAx>
      <c:valAx>
        <c:axId val="913726119"/>
        <c:scaling>
          <c:orientation val="minMax"/>
          <c:max val="1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43250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'2023H'!$B$73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Trendlinje for Oskar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cat>
            <c:strRef>
              <c:f>'2023H'!$C$59:$K$59</c:f>
            </c:strRef>
          </c:cat>
          <c:val>
            <c:numRef>
              <c:f>'2023H'!$C$73:$K$73</c:f>
              <c:numCache/>
            </c:numRef>
          </c:val>
          <c:smooth val="0"/>
        </c:ser>
        <c:axId val="583089645"/>
        <c:axId val="2030165426"/>
      </c:lineChart>
      <c:catAx>
        <c:axId val="5830896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0165426"/>
      </c:catAx>
      <c:valAx>
        <c:axId val="20301654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30896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'2023H'!$B$74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Trendlinje for Helena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cat>
            <c:strRef>
              <c:f>'2023H'!$C$59:$K$59</c:f>
            </c:strRef>
          </c:cat>
          <c:val>
            <c:numRef>
              <c:f>'2023H'!$C$74:$K$74</c:f>
              <c:numCache/>
            </c:numRef>
          </c:val>
          <c:smooth val="0"/>
        </c:ser>
        <c:axId val="297452908"/>
        <c:axId val="564446595"/>
      </c:lineChart>
      <c:catAx>
        <c:axId val="2974529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4446595"/>
      </c:catAx>
      <c:valAx>
        <c:axId val="564446595"/>
        <c:scaling>
          <c:orientation val="minMax"/>
          <c:min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74529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'2023H'!$B$75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Trendlinje for Lars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cat>
            <c:strRef>
              <c:f>'2023H'!$C$59:$K$59</c:f>
            </c:strRef>
          </c:cat>
          <c:val>
            <c:numRef>
              <c:f>'2023H'!$C$75:$K$75</c:f>
              <c:numCache/>
            </c:numRef>
          </c:val>
          <c:smooth val="0"/>
        </c:ser>
        <c:axId val="2000871955"/>
        <c:axId val="1867447958"/>
      </c:lineChart>
      <c:catAx>
        <c:axId val="2000871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7447958"/>
      </c:catAx>
      <c:valAx>
        <c:axId val="18674479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08719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'2023H'!$B$76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Trendlinje for Sigurd B.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cat>
            <c:strRef>
              <c:f>'2023H'!$C$59:$K$59</c:f>
            </c:strRef>
          </c:cat>
          <c:val>
            <c:numRef>
              <c:f>'2023H'!$C$76:$K$76</c:f>
              <c:numCache/>
            </c:numRef>
          </c:val>
          <c:smooth val="0"/>
        </c:ser>
        <c:axId val="1130380078"/>
        <c:axId val="1960814653"/>
      </c:lineChart>
      <c:catAx>
        <c:axId val="11303800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0814653"/>
      </c:catAx>
      <c:valAx>
        <c:axId val="19608146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03800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'2023H'!$B$77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Trendlinje for Adrian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cat>
            <c:strRef>
              <c:f>'2023H'!$C$59:$K$59</c:f>
            </c:strRef>
          </c:cat>
          <c:val>
            <c:numRef>
              <c:f>'2023H'!$C$77:$K$77</c:f>
              <c:numCache/>
            </c:numRef>
          </c:val>
          <c:smooth val="0"/>
        </c:ser>
        <c:axId val="383994329"/>
        <c:axId val="1350080526"/>
      </c:lineChart>
      <c:catAx>
        <c:axId val="383994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0080526"/>
      </c:catAx>
      <c:valAx>
        <c:axId val="13500805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39943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'2023H'!$B$78</c:f>
            </c:strRef>
          </c:tx>
          <c:spPr>
            <a:ln cmpd="sng" w="38100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Trendlinje for Iver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cat>
            <c:strRef>
              <c:f>'2023H'!$C$59:$K$59</c:f>
            </c:strRef>
          </c:cat>
          <c:val>
            <c:numRef>
              <c:f>'2023H'!$C$78:$K$78</c:f>
              <c:numCache/>
            </c:numRef>
          </c:val>
          <c:smooth val="0"/>
        </c:ser>
        <c:axId val="1343027144"/>
        <c:axId val="1372476798"/>
      </c:lineChart>
      <c:catAx>
        <c:axId val="1343027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2476798"/>
      </c:catAx>
      <c:valAx>
        <c:axId val="13724767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30271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20" Type="http://schemas.openxmlformats.org/officeDocument/2006/relationships/chart" Target="../charts/chart20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19" Type="http://schemas.openxmlformats.org/officeDocument/2006/relationships/chart" Target="../charts/chart19.xml"/><Relationship Id="rId6" Type="http://schemas.openxmlformats.org/officeDocument/2006/relationships/chart" Target="../charts/chart6.xml"/><Relationship Id="rId18" Type="http://schemas.openxmlformats.org/officeDocument/2006/relationships/chart" Target="../charts/chart18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78</xdr:row>
      <xdr:rowOff>180975</xdr:rowOff>
    </xdr:from>
    <xdr:ext cx="12268200" cy="81819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238125</xdr:colOff>
      <xdr:row>120</xdr:row>
      <xdr:rowOff>95250</xdr:rowOff>
    </xdr:from>
    <xdr:ext cx="5715000" cy="353377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238125</xdr:colOff>
      <xdr:row>138</xdr:row>
      <xdr:rowOff>161925</xdr:rowOff>
    </xdr:from>
    <xdr:ext cx="5715000" cy="3533775"/>
    <xdr:graphicFrame>
      <xdr:nvGraphicFramePr>
        <xdr:cNvPr id="3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238125</xdr:colOff>
      <xdr:row>175</xdr:row>
      <xdr:rowOff>95250</xdr:rowOff>
    </xdr:from>
    <xdr:ext cx="5715000" cy="3533775"/>
    <xdr:graphicFrame>
      <xdr:nvGraphicFramePr>
        <xdr:cNvPr id="4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238125</xdr:colOff>
      <xdr:row>157</xdr:row>
      <xdr:rowOff>28575</xdr:rowOff>
    </xdr:from>
    <xdr:ext cx="5715000" cy="3533775"/>
    <xdr:graphicFrame>
      <xdr:nvGraphicFramePr>
        <xdr:cNvPr id="5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238125</xdr:colOff>
      <xdr:row>193</xdr:row>
      <xdr:rowOff>161925</xdr:rowOff>
    </xdr:from>
    <xdr:ext cx="5715000" cy="3533775"/>
    <xdr:graphicFrame>
      <xdr:nvGraphicFramePr>
        <xdr:cNvPr id="6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21</xdr:col>
      <xdr:colOff>495300</xdr:colOff>
      <xdr:row>138</xdr:row>
      <xdr:rowOff>180975</xdr:rowOff>
    </xdr:from>
    <xdr:ext cx="5715000" cy="3533775"/>
    <xdr:graphicFrame>
      <xdr:nvGraphicFramePr>
        <xdr:cNvPr id="7" name="Chart 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7</xdr:col>
      <xdr:colOff>895350</xdr:colOff>
      <xdr:row>120</xdr:row>
      <xdr:rowOff>104775</xdr:rowOff>
    </xdr:from>
    <xdr:ext cx="5715000" cy="3533775"/>
    <xdr:graphicFrame>
      <xdr:nvGraphicFramePr>
        <xdr:cNvPr id="8" name="Chart 8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7</xdr:col>
      <xdr:colOff>895350</xdr:colOff>
      <xdr:row>138</xdr:row>
      <xdr:rowOff>180975</xdr:rowOff>
    </xdr:from>
    <xdr:ext cx="5715000" cy="3533775"/>
    <xdr:graphicFrame>
      <xdr:nvGraphicFramePr>
        <xdr:cNvPr id="9" name="Chart 9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7</xdr:col>
      <xdr:colOff>895350</xdr:colOff>
      <xdr:row>157</xdr:row>
      <xdr:rowOff>57150</xdr:rowOff>
    </xdr:from>
    <xdr:ext cx="5715000" cy="3533775"/>
    <xdr:graphicFrame>
      <xdr:nvGraphicFramePr>
        <xdr:cNvPr id="10" name="Chart 10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7</xdr:col>
      <xdr:colOff>895350</xdr:colOff>
      <xdr:row>175</xdr:row>
      <xdr:rowOff>133350</xdr:rowOff>
    </xdr:from>
    <xdr:ext cx="5715000" cy="3533775"/>
    <xdr:graphicFrame>
      <xdr:nvGraphicFramePr>
        <xdr:cNvPr id="11" name="Chart 1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7</xdr:col>
      <xdr:colOff>895350</xdr:colOff>
      <xdr:row>194</xdr:row>
      <xdr:rowOff>9525</xdr:rowOff>
    </xdr:from>
    <xdr:ext cx="5715000" cy="3533775"/>
    <xdr:graphicFrame>
      <xdr:nvGraphicFramePr>
        <xdr:cNvPr id="12" name="Chart 1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21</xdr:col>
      <xdr:colOff>495300</xdr:colOff>
      <xdr:row>157</xdr:row>
      <xdr:rowOff>57150</xdr:rowOff>
    </xdr:from>
    <xdr:ext cx="5715000" cy="3533775"/>
    <xdr:graphicFrame>
      <xdr:nvGraphicFramePr>
        <xdr:cNvPr id="13" name="Chart 1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14</xdr:col>
      <xdr:colOff>695325</xdr:colOff>
      <xdr:row>120</xdr:row>
      <xdr:rowOff>104775</xdr:rowOff>
    </xdr:from>
    <xdr:ext cx="5715000" cy="3533775"/>
    <xdr:graphicFrame>
      <xdr:nvGraphicFramePr>
        <xdr:cNvPr id="14" name="Chart 1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14</xdr:col>
      <xdr:colOff>695325</xdr:colOff>
      <xdr:row>138</xdr:row>
      <xdr:rowOff>180975</xdr:rowOff>
    </xdr:from>
    <xdr:ext cx="5715000" cy="3533775"/>
    <xdr:graphicFrame>
      <xdr:nvGraphicFramePr>
        <xdr:cNvPr id="15" name="Chart 1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14</xdr:col>
      <xdr:colOff>695325</xdr:colOff>
      <xdr:row>157</xdr:row>
      <xdr:rowOff>57150</xdr:rowOff>
    </xdr:from>
    <xdr:ext cx="5715000" cy="3533775"/>
    <xdr:graphicFrame>
      <xdr:nvGraphicFramePr>
        <xdr:cNvPr id="16" name="Chart 1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14</xdr:col>
      <xdr:colOff>695325</xdr:colOff>
      <xdr:row>175</xdr:row>
      <xdr:rowOff>133350</xdr:rowOff>
    </xdr:from>
    <xdr:ext cx="5715000" cy="3533775"/>
    <xdr:graphicFrame>
      <xdr:nvGraphicFramePr>
        <xdr:cNvPr id="17" name="Chart 1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14</xdr:col>
      <xdr:colOff>695325</xdr:colOff>
      <xdr:row>194</xdr:row>
      <xdr:rowOff>9525</xdr:rowOff>
    </xdr:from>
    <xdr:ext cx="5715000" cy="3533775"/>
    <xdr:graphicFrame>
      <xdr:nvGraphicFramePr>
        <xdr:cNvPr id="18" name="Chart 18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21</xdr:col>
      <xdr:colOff>495300</xdr:colOff>
      <xdr:row>175</xdr:row>
      <xdr:rowOff>133350</xdr:rowOff>
    </xdr:from>
    <xdr:ext cx="5715000" cy="3533775"/>
    <xdr:graphicFrame>
      <xdr:nvGraphicFramePr>
        <xdr:cNvPr id="19" name="Chart 19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21</xdr:col>
      <xdr:colOff>495300</xdr:colOff>
      <xdr:row>120</xdr:row>
      <xdr:rowOff>104775</xdr:rowOff>
    </xdr:from>
    <xdr:ext cx="5715000" cy="3533775"/>
    <xdr:graphicFrame>
      <xdr:nvGraphicFramePr>
        <xdr:cNvPr id="20" name="Chart 20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35" displayName="Tabell1" name="Tabell1" id="1">
  <tableColumns count="17">
    <tableColumn name="Deltaker" id="1"/>
    <tableColumn name="Beste resultat" id="2"/>
    <tableColumn name="Snitt" id="3"/>
    <tableColumn name="16.01" id="4"/>
    <tableColumn name="Anmerkning" id="5"/>
    <tableColumn name="23.01" id="6"/>
    <tableColumn name="Anmerkning 2" id="7"/>
    <tableColumn name="30.01" id="8"/>
    <tableColumn name="Anmerkning 3" id="9"/>
    <tableColumn name="06.02" id="10"/>
    <tableColumn name="Anmerkning 4" id="11"/>
    <tableColumn name="13.02" id="12"/>
    <tableColumn name="Anmerkning 5" id="13"/>
    <tableColumn name="19.02 (Kiltfest)" id="14"/>
    <tableColumn name="Anmerkning 6" id="15"/>
    <tableColumn name="27.02" id="16"/>
    <tableColumn name="Anmerkning 7" id="17"/>
  </tableColumns>
  <tableStyleInfo name="2026V-style" showColumnStripes="0" showFirstColumn="1" showLastColumn="1" showRowStripes="1"/>
</table>
</file>

<file path=xl/tables/table2.xml><?xml version="1.0" encoding="utf-8"?>
<table xmlns="http://schemas.openxmlformats.org/spreadsheetml/2006/main" ref="A1:AG26" displayName="Resultater" name="Resultater" id="2">
  <tableColumns count="33">
    <tableColumn name="Deltaker" id="1"/>
    <tableColumn name="Beste resultat" id="2"/>
    <tableColumn name="2024 (3. klasse)" id="3"/>
    <tableColumn name="12.09.25" id="4"/>
    <tableColumn name="Anmerkning" id="5"/>
    <tableColumn name="19.09.2025" id="6"/>
    <tableColumn name="Anmerkning 2" id="7"/>
    <tableColumn name="26.09.2025" id="8"/>
    <tableColumn name="Anmerkning 3" id="9"/>
    <tableColumn name="03.10.2025" id="10"/>
    <tableColumn name="Anmerkning 4" id="11"/>
    <tableColumn name="09.10.2025" id="12"/>
    <tableColumn name="Anmerkning 5" id="13"/>
    <tableColumn name="17.10.2025" id="14"/>
    <tableColumn name="Anmerkning 6" id="15"/>
    <tableColumn name="24.10.2025" id="16"/>
    <tableColumn name="Anmerkning 7" id="17"/>
    <tableColumn name="31.10.2025" id="18"/>
    <tableColumn name="Anmerkning 8" id="19"/>
    <tableColumn name="07.11.2025" id="20"/>
    <tableColumn name="Anmerkning 9" id="21"/>
    <tableColumn name="14.11.2025" id="22"/>
    <tableColumn name="Anmerkning 10" id="23"/>
    <tableColumn name="21.11.2025" id="24"/>
    <tableColumn name="Anmerkning 11" id="25"/>
    <tableColumn name="28.11" id="26"/>
    <tableColumn name="Anmerkning 12" id="27"/>
    <tableColumn name="05.12" id="28"/>
    <tableColumn name="Anmerkning 13" id="29"/>
    <tableColumn name="12.06" id="30"/>
    <tableColumn name="Anmerkning 14" id="31"/>
    <tableColumn name="ekstra" id="32"/>
    <tableColumn name="Anmerkning 15" id="33"/>
  </tableColumns>
  <tableStyleInfo name="2025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15.75"/>
    <col customWidth="1" min="4" max="4" width="9.75"/>
    <col customWidth="1" min="5" max="5" width="24.63"/>
    <col customWidth="1" min="6" max="6" width="11.0"/>
    <col customWidth="1" min="7" max="7" width="19.5"/>
    <col customWidth="1" min="8" max="8" width="11.0"/>
    <col customWidth="1" min="11" max="11" width="14.5"/>
    <col customWidth="1" min="13" max="13" width="15.0"/>
    <col customWidth="1" min="14" max="14" width="16.5"/>
    <col customWidth="1" min="15" max="15" width="13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22.5" customHeight="1">
      <c r="A2" s="3" t="s">
        <v>17</v>
      </c>
      <c r="B2" s="4">
        <f t="shared" ref="B2:B16" si="1">MIN(D2:XFK2)</f>
        <v>9.96</v>
      </c>
      <c r="C2" s="4">
        <f t="shared" ref="C2:C16" si="2">ROUND(AVERAGE(D2:XFK2),2)</f>
        <v>10.83</v>
      </c>
      <c r="D2" s="5"/>
      <c r="E2" s="5"/>
      <c r="F2" s="5"/>
      <c r="G2" s="6" t="s">
        <v>18</v>
      </c>
      <c r="H2" s="7">
        <v>11.25</v>
      </c>
      <c r="I2" s="8"/>
      <c r="J2" s="7">
        <v>11.2</v>
      </c>
      <c r="K2" s="6" t="s">
        <v>19</v>
      </c>
      <c r="L2" s="5"/>
      <c r="M2" s="6" t="s">
        <v>20</v>
      </c>
      <c r="N2" s="7">
        <v>9.96</v>
      </c>
      <c r="O2" s="6"/>
      <c r="P2" s="7">
        <v>10.9</v>
      </c>
      <c r="Q2" s="6"/>
    </row>
    <row r="3" ht="22.5" customHeight="1">
      <c r="A3" s="3" t="s">
        <v>21</v>
      </c>
      <c r="B3" s="4">
        <f t="shared" si="1"/>
        <v>0</v>
      </c>
      <c r="C3" s="4" t="str">
        <f t="shared" si="2"/>
        <v>#DIV/0!</v>
      </c>
      <c r="D3" s="5"/>
      <c r="E3" s="5"/>
      <c r="F3" s="5"/>
      <c r="G3" s="6" t="s">
        <v>20</v>
      </c>
      <c r="H3" s="5"/>
      <c r="I3" s="6" t="s">
        <v>20</v>
      </c>
      <c r="J3" s="5"/>
      <c r="K3" s="6" t="s">
        <v>20</v>
      </c>
      <c r="L3" s="5"/>
      <c r="M3" s="6" t="s">
        <v>20</v>
      </c>
      <c r="N3" s="5"/>
      <c r="O3" s="6" t="s">
        <v>20</v>
      </c>
      <c r="P3" s="5"/>
      <c r="Q3" s="6" t="s">
        <v>20</v>
      </c>
    </row>
    <row r="4" ht="22.5" customHeight="1">
      <c r="A4" s="3" t="s">
        <v>22</v>
      </c>
      <c r="B4" s="4">
        <f t="shared" si="1"/>
        <v>6.9</v>
      </c>
      <c r="C4" s="4">
        <f t="shared" si="2"/>
        <v>8.22</v>
      </c>
      <c r="D4" s="7">
        <v>8.79</v>
      </c>
      <c r="E4" s="7"/>
      <c r="F4" s="7">
        <v>8.2</v>
      </c>
      <c r="G4" s="6"/>
      <c r="H4" s="7">
        <v>8.55</v>
      </c>
      <c r="I4" s="6" t="s">
        <v>23</v>
      </c>
      <c r="J4" s="7">
        <v>8.66</v>
      </c>
      <c r="K4" s="8"/>
      <c r="L4" s="5"/>
      <c r="M4" s="6" t="s">
        <v>20</v>
      </c>
      <c r="N4" s="7">
        <v>6.9</v>
      </c>
      <c r="O4" s="6" t="s">
        <v>19</v>
      </c>
      <c r="P4" s="5"/>
      <c r="Q4" s="6" t="s">
        <v>20</v>
      </c>
    </row>
    <row r="5" ht="22.5" customHeight="1">
      <c r="A5" s="3" t="s">
        <v>24</v>
      </c>
      <c r="B5" s="4">
        <f t="shared" si="1"/>
        <v>5</v>
      </c>
      <c r="C5" s="4">
        <f t="shared" si="2"/>
        <v>5.54</v>
      </c>
      <c r="D5" s="7">
        <v>6.23</v>
      </c>
      <c r="E5" s="5"/>
      <c r="F5" s="7">
        <v>5.76</v>
      </c>
      <c r="G5" s="6" t="s">
        <v>19</v>
      </c>
      <c r="H5" s="7">
        <v>5.55</v>
      </c>
      <c r="I5" s="6" t="s">
        <v>25</v>
      </c>
      <c r="J5" s="5"/>
      <c r="K5" s="6" t="s">
        <v>26</v>
      </c>
      <c r="L5" s="7">
        <v>5.15</v>
      </c>
      <c r="M5" s="6" t="s">
        <v>19</v>
      </c>
      <c r="N5" s="7"/>
      <c r="O5" s="6" t="s">
        <v>20</v>
      </c>
      <c r="P5" s="7">
        <v>5.0</v>
      </c>
      <c r="Q5" s="6" t="s">
        <v>19</v>
      </c>
    </row>
    <row r="6" ht="22.5" customHeight="1">
      <c r="A6" s="3" t="s">
        <v>27</v>
      </c>
      <c r="B6" s="4">
        <f t="shared" si="1"/>
        <v>8.12</v>
      </c>
      <c r="C6" s="4">
        <f t="shared" si="2"/>
        <v>8.9</v>
      </c>
      <c r="D6" s="7">
        <v>9.6</v>
      </c>
      <c r="E6" s="7" t="s">
        <v>19</v>
      </c>
      <c r="F6" s="7">
        <v>9.6</v>
      </c>
      <c r="G6" s="6" t="s">
        <v>19</v>
      </c>
      <c r="H6" s="7">
        <v>8.85</v>
      </c>
      <c r="I6" s="6" t="s">
        <v>19</v>
      </c>
      <c r="J6" s="7">
        <v>8.6</v>
      </c>
      <c r="K6" s="8"/>
      <c r="L6" s="7">
        <v>9.13</v>
      </c>
      <c r="M6" s="8"/>
      <c r="N6" s="7">
        <v>8.4</v>
      </c>
      <c r="O6" s="8"/>
      <c r="P6" s="7">
        <v>8.12</v>
      </c>
      <c r="Q6" s="8"/>
    </row>
    <row r="7" ht="22.5" customHeight="1">
      <c r="A7" s="3" t="s">
        <v>28</v>
      </c>
      <c r="B7" s="4">
        <f t="shared" si="1"/>
        <v>12.3</v>
      </c>
      <c r="C7" s="4">
        <f t="shared" si="2"/>
        <v>14.11</v>
      </c>
      <c r="D7" s="7">
        <v>17.1</v>
      </c>
      <c r="E7" s="7" t="s">
        <v>19</v>
      </c>
      <c r="F7" s="5"/>
      <c r="G7" s="6" t="s">
        <v>20</v>
      </c>
      <c r="H7" s="7">
        <v>13.05</v>
      </c>
      <c r="I7" s="6" t="s">
        <v>29</v>
      </c>
      <c r="J7" s="7">
        <v>12.72</v>
      </c>
      <c r="K7" s="8"/>
      <c r="L7" s="7">
        <v>12.85</v>
      </c>
      <c r="M7" s="6" t="s">
        <v>19</v>
      </c>
      <c r="N7" s="7">
        <v>12.3</v>
      </c>
      <c r="O7" s="6"/>
      <c r="P7" s="7">
        <v>16.65</v>
      </c>
      <c r="Q7" s="6" t="s">
        <v>30</v>
      </c>
    </row>
    <row r="8" ht="22.5" customHeight="1">
      <c r="A8" s="3" t="s">
        <v>31</v>
      </c>
      <c r="B8" s="4">
        <f t="shared" si="1"/>
        <v>4.45</v>
      </c>
      <c r="C8" s="4">
        <f t="shared" si="2"/>
        <v>5.28</v>
      </c>
      <c r="D8" s="7">
        <v>6.9</v>
      </c>
      <c r="E8" s="5"/>
      <c r="F8" s="7">
        <v>5.35</v>
      </c>
      <c r="G8" s="8"/>
      <c r="H8" s="7">
        <v>5.25</v>
      </c>
      <c r="I8" s="8"/>
      <c r="J8" s="7">
        <v>5.05</v>
      </c>
      <c r="K8" s="8"/>
      <c r="L8" s="7">
        <v>4.9</v>
      </c>
      <c r="M8" s="8"/>
      <c r="N8" s="7">
        <v>5.03</v>
      </c>
      <c r="O8" s="8"/>
      <c r="P8" s="7">
        <v>4.45</v>
      </c>
      <c r="Q8" s="6" t="s">
        <v>19</v>
      </c>
    </row>
    <row r="9" ht="22.5" customHeight="1">
      <c r="A9" s="3" t="s">
        <v>32</v>
      </c>
      <c r="B9" s="4">
        <f t="shared" si="1"/>
        <v>7.19</v>
      </c>
      <c r="C9" s="4">
        <f t="shared" si="2"/>
        <v>8.14</v>
      </c>
      <c r="D9" s="5"/>
      <c r="E9" s="5"/>
      <c r="F9" s="7">
        <v>8.1</v>
      </c>
      <c r="G9" s="8"/>
      <c r="H9" s="7">
        <v>9.01</v>
      </c>
      <c r="I9" s="6" t="s">
        <v>33</v>
      </c>
      <c r="J9" s="5"/>
      <c r="K9" s="8"/>
      <c r="L9" s="7">
        <v>8.25</v>
      </c>
      <c r="M9" s="8"/>
      <c r="N9" s="7">
        <v>7.19</v>
      </c>
      <c r="O9" s="8"/>
      <c r="P9" s="7"/>
      <c r="Q9" s="6" t="s">
        <v>26</v>
      </c>
    </row>
    <row r="10" ht="22.5" customHeight="1">
      <c r="A10" s="3" t="s">
        <v>34</v>
      </c>
      <c r="B10" s="4">
        <f t="shared" si="1"/>
        <v>9.05</v>
      </c>
      <c r="C10" s="4">
        <f t="shared" si="2"/>
        <v>9.3</v>
      </c>
      <c r="D10" s="7">
        <v>9.55</v>
      </c>
      <c r="E10" s="5"/>
      <c r="F10" s="5"/>
      <c r="G10" s="6" t="s">
        <v>20</v>
      </c>
      <c r="H10" s="5"/>
      <c r="I10" s="6" t="s">
        <v>26</v>
      </c>
      <c r="J10" s="7">
        <v>9.05</v>
      </c>
      <c r="K10" s="8"/>
      <c r="L10" s="5"/>
      <c r="M10" s="6" t="s">
        <v>20</v>
      </c>
      <c r="N10" s="5"/>
      <c r="O10" s="6" t="s">
        <v>26</v>
      </c>
      <c r="P10" s="5"/>
      <c r="Q10" s="6" t="s">
        <v>26</v>
      </c>
    </row>
    <row r="11" ht="22.5" customHeight="1">
      <c r="A11" s="3" t="s">
        <v>35</v>
      </c>
      <c r="B11" s="4">
        <f t="shared" si="1"/>
        <v>3.97</v>
      </c>
      <c r="C11" s="4">
        <f t="shared" si="2"/>
        <v>4.34</v>
      </c>
      <c r="D11" s="7">
        <v>4.6</v>
      </c>
      <c r="E11" s="5"/>
      <c r="F11" s="7">
        <v>4.1</v>
      </c>
      <c r="G11" s="8"/>
      <c r="H11" s="7">
        <v>4.5</v>
      </c>
      <c r="I11" s="6" t="s">
        <v>19</v>
      </c>
      <c r="J11" s="7">
        <v>4.14</v>
      </c>
      <c r="K11" s="8"/>
      <c r="L11" s="7">
        <v>4.35</v>
      </c>
      <c r="M11" s="8"/>
      <c r="N11" s="7">
        <v>3.97</v>
      </c>
      <c r="O11" s="8"/>
      <c r="P11" s="7">
        <v>4.74</v>
      </c>
      <c r="Q11" s="8"/>
    </row>
    <row r="12" ht="22.5" customHeight="1">
      <c r="A12" s="3" t="s">
        <v>36</v>
      </c>
      <c r="B12" s="4">
        <f t="shared" si="1"/>
        <v>13.32</v>
      </c>
      <c r="C12" s="4">
        <f t="shared" si="2"/>
        <v>16.51</v>
      </c>
      <c r="D12" s="7">
        <v>30.65</v>
      </c>
      <c r="E12" s="7" t="s">
        <v>37</v>
      </c>
      <c r="F12" s="7">
        <v>13.37</v>
      </c>
      <c r="G12" s="8"/>
      <c r="H12" s="7">
        <v>14.12</v>
      </c>
      <c r="I12" s="8"/>
      <c r="J12" s="7">
        <v>16.62</v>
      </c>
      <c r="K12" s="6" t="s">
        <v>38</v>
      </c>
      <c r="L12" s="7">
        <v>13.38</v>
      </c>
      <c r="M12" s="8"/>
      <c r="N12" s="7">
        <v>14.1</v>
      </c>
      <c r="O12" s="8"/>
      <c r="P12" s="7">
        <v>13.32</v>
      </c>
      <c r="Q12" s="8"/>
    </row>
    <row r="13" ht="22.5" customHeight="1">
      <c r="A13" s="3" t="s">
        <v>39</v>
      </c>
      <c r="B13" s="4">
        <f t="shared" si="1"/>
        <v>6.35</v>
      </c>
      <c r="C13" s="4">
        <f t="shared" si="2"/>
        <v>6.86</v>
      </c>
      <c r="D13" s="7">
        <v>7.37</v>
      </c>
      <c r="E13" s="5"/>
      <c r="F13" s="7">
        <v>6.5</v>
      </c>
      <c r="G13" s="6" t="s">
        <v>19</v>
      </c>
      <c r="H13" s="7">
        <v>7.65</v>
      </c>
      <c r="I13" s="6" t="s">
        <v>33</v>
      </c>
      <c r="J13" s="7">
        <v>6.7</v>
      </c>
      <c r="K13" s="8"/>
      <c r="L13" s="7">
        <v>6.9</v>
      </c>
      <c r="M13" s="8"/>
      <c r="N13" s="7">
        <v>6.35</v>
      </c>
      <c r="O13" s="8"/>
      <c r="P13" s="7">
        <v>6.52</v>
      </c>
      <c r="Q13" s="8"/>
    </row>
    <row r="14" ht="22.5" customHeight="1">
      <c r="A14" s="3" t="s">
        <v>40</v>
      </c>
      <c r="B14" s="9">
        <f t="shared" si="1"/>
        <v>6.47</v>
      </c>
      <c r="C14" s="4">
        <f t="shared" si="2"/>
        <v>7.44</v>
      </c>
      <c r="D14" s="7">
        <v>8.15</v>
      </c>
      <c r="E14" s="5"/>
      <c r="F14" s="7">
        <v>7.25</v>
      </c>
      <c r="G14" s="6" t="s">
        <v>19</v>
      </c>
      <c r="H14" s="7">
        <v>8.13</v>
      </c>
      <c r="I14" s="8"/>
      <c r="J14" s="7">
        <v>7.7</v>
      </c>
      <c r="K14" s="6" t="s">
        <v>19</v>
      </c>
      <c r="L14" s="7">
        <v>6.9</v>
      </c>
      <c r="M14" s="6" t="s">
        <v>19</v>
      </c>
      <c r="N14" s="7">
        <v>6.47</v>
      </c>
      <c r="O14" s="6" t="s">
        <v>19</v>
      </c>
      <c r="P14" s="7">
        <v>7.5</v>
      </c>
      <c r="Q14" s="6"/>
    </row>
    <row r="15" ht="22.5" customHeight="1">
      <c r="A15" s="10" t="s">
        <v>41</v>
      </c>
      <c r="B15" s="9">
        <f t="shared" si="1"/>
        <v>3.28</v>
      </c>
      <c r="C15" s="4">
        <f t="shared" si="2"/>
        <v>3.62</v>
      </c>
      <c r="D15" s="11">
        <v>3.7</v>
      </c>
      <c r="E15" s="12"/>
      <c r="F15" s="7">
        <v>4.06</v>
      </c>
      <c r="G15" s="6" t="s">
        <v>42</v>
      </c>
      <c r="H15" s="7">
        <v>3.4</v>
      </c>
      <c r="I15" s="8"/>
      <c r="J15" s="7">
        <v>3.28</v>
      </c>
      <c r="K15" s="8"/>
      <c r="L15" s="5"/>
      <c r="M15" s="6" t="s">
        <v>20</v>
      </c>
      <c r="N15" s="7">
        <v>3.5</v>
      </c>
      <c r="O15" s="6"/>
      <c r="P15" s="7">
        <v>3.75</v>
      </c>
      <c r="Q15" s="6" t="s">
        <v>19</v>
      </c>
    </row>
    <row r="16" ht="22.5" customHeight="1">
      <c r="A16" s="13" t="s">
        <v>43</v>
      </c>
      <c r="B16" s="4">
        <f t="shared" si="1"/>
        <v>6.87</v>
      </c>
      <c r="C16" s="4">
        <f t="shared" si="2"/>
        <v>7.53</v>
      </c>
      <c r="D16" s="7"/>
      <c r="E16" s="5"/>
      <c r="F16" s="7">
        <v>8.5</v>
      </c>
      <c r="G16" s="6" t="s">
        <v>44</v>
      </c>
      <c r="H16" s="7">
        <v>8.19</v>
      </c>
      <c r="I16" s="8"/>
      <c r="J16" s="5"/>
      <c r="K16" s="6" t="s">
        <v>20</v>
      </c>
      <c r="L16" s="7">
        <v>7.2</v>
      </c>
      <c r="M16" s="6" t="s">
        <v>19</v>
      </c>
      <c r="N16" s="7">
        <v>6.87</v>
      </c>
      <c r="O16" s="6"/>
      <c r="P16" s="7">
        <v>6.9</v>
      </c>
      <c r="Q16" s="6" t="s">
        <v>19</v>
      </c>
    </row>
    <row r="17" ht="22.5" customHeight="1">
      <c r="A17" s="14" t="s">
        <v>45</v>
      </c>
      <c r="B17" s="15">
        <f>MIN(D16:XFK16)</f>
        <v>6.87</v>
      </c>
      <c r="C17" s="16"/>
      <c r="D17" s="17"/>
      <c r="E17" s="17"/>
      <c r="N17" s="17"/>
      <c r="O17" s="17"/>
      <c r="P17" s="17"/>
      <c r="Q17" s="17"/>
    </row>
    <row r="18" ht="22.5" customHeight="1">
      <c r="A18" s="18" t="s">
        <v>46</v>
      </c>
      <c r="B18" s="16">
        <f t="shared" ref="B18:B35" si="3">MIN(D18:XFK18)</f>
        <v>12.84</v>
      </c>
      <c r="C18" s="16">
        <f t="shared" ref="C18:C35" si="4">ROUND(AVERAGE(D18:XFK18),2)</f>
        <v>14.06</v>
      </c>
      <c r="D18" s="18">
        <v>15.6</v>
      </c>
      <c r="L18" s="18">
        <v>13.73</v>
      </c>
      <c r="M18" s="18" t="s">
        <v>19</v>
      </c>
      <c r="N18" s="19"/>
      <c r="O18" s="19"/>
      <c r="P18" s="20">
        <v>12.84</v>
      </c>
      <c r="Q18" s="19"/>
    </row>
    <row r="19" ht="22.5" customHeight="1">
      <c r="A19" s="18" t="s">
        <v>47</v>
      </c>
      <c r="B19" s="16">
        <f t="shared" si="3"/>
        <v>6.6</v>
      </c>
      <c r="C19" s="16">
        <f t="shared" si="4"/>
        <v>7.03</v>
      </c>
      <c r="F19" s="18">
        <v>7.55</v>
      </c>
      <c r="G19" s="18" t="s">
        <v>19</v>
      </c>
      <c r="H19" s="18">
        <v>7.25</v>
      </c>
      <c r="J19" s="18">
        <v>6.73</v>
      </c>
      <c r="N19" s="20">
        <v>6.6</v>
      </c>
      <c r="O19" s="17"/>
      <c r="P19" s="20"/>
      <c r="Q19" s="17"/>
    </row>
    <row r="20" ht="22.5" customHeight="1">
      <c r="A20" s="18" t="s">
        <v>48</v>
      </c>
      <c r="B20" s="16">
        <f t="shared" si="3"/>
        <v>11.2</v>
      </c>
      <c r="C20" s="16">
        <f t="shared" si="4"/>
        <v>14.25</v>
      </c>
      <c r="F20" s="18">
        <v>11.4</v>
      </c>
      <c r="H20" s="18">
        <v>20.15</v>
      </c>
      <c r="I20" s="18" t="s">
        <v>49</v>
      </c>
      <c r="J20" s="18">
        <v>11.2</v>
      </c>
      <c r="N20" s="17"/>
      <c r="O20" s="17"/>
      <c r="P20" s="17"/>
      <c r="Q20" s="17"/>
    </row>
    <row r="21" ht="22.5" customHeight="1">
      <c r="A21" s="18" t="s">
        <v>50</v>
      </c>
      <c r="B21" s="16">
        <f t="shared" si="3"/>
        <v>3.4</v>
      </c>
      <c r="C21" s="16">
        <f t="shared" si="4"/>
        <v>3.4</v>
      </c>
      <c r="F21" s="18"/>
      <c r="H21" s="18">
        <v>3.4</v>
      </c>
      <c r="N21" s="17"/>
      <c r="O21" s="17"/>
      <c r="P21" s="17"/>
      <c r="Q21" s="17"/>
    </row>
    <row r="22" ht="22.5" customHeight="1">
      <c r="A22" s="18" t="s">
        <v>51</v>
      </c>
      <c r="B22" s="16">
        <f t="shared" si="3"/>
        <v>18.08</v>
      </c>
      <c r="C22" s="16">
        <f t="shared" si="4"/>
        <v>18.08</v>
      </c>
      <c r="F22" s="18"/>
      <c r="H22" s="18"/>
      <c r="J22" s="18">
        <v>18.08</v>
      </c>
      <c r="K22" s="18" t="s">
        <v>38</v>
      </c>
      <c r="N22" s="17"/>
      <c r="O22" s="17"/>
      <c r="P22" s="17"/>
      <c r="Q22" s="17"/>
    </row>
    <row r="23" ht="22.5" customHeight="1">
      <c r="A23" s="18" t="s">
        <v>52</v>
      </c>
      <c r="B23" s="16">
        <f t="shared" si="3"/>
        <v>7.34</v>
      </c>
      <c r="C23" s="16">
        <f t="shared" si="4"/>
        <v>7.34</v>
      </c>
      <c r="F23" s="18"/>
      <c r="H23" s="18"/>
      <c r="J23" s="18">
        <v>7.34</v>
      </c>
      <c r="K23" s="18" t="s">
        <v>25</v>
      </c>
      <c r="N23" s="17"/>
      <c r="O23" s="17"/>
      <c r="P23" s="17"/>
      <c r="Q23" s="17"/>
    </row>
    <row r="24" ht="22.5" customHeight="1">
      <c r="A24" s="18" t="s">
        <v>53</v>
      </c>
      <c r="B24" s="16">
        <f t="shared" si="3"/>
        <v>7.83</v>
      </c>
      <c r="C24" s="16">
        <f t="shared" si="4"/>
        <v>7.89</v>
      </c>
      <c r="F24" s="18"/>
      <c r="H24" s="18"/>
      <c r="J24" s="18">
        <v>7.83</v>
      </c>
      <c r="K24" s="18"/>
      <c r="N24" s="20">
        <v>7.94</v>
      </c>
      <c r="O24" s="17"/>
      <c r="P24" s="17"/>
      <c r="Q24" s="17"/>
    </row>
    <row r="25" ht="22.5" customHeight="1">
      <c r="A25" s="18" t="s">
        <v>54</v>
      </c>
      <c r="B25" s="16">
        <f t="shared" si="3"/>
        <v>10.27</v>
      </c>
      <c r="C25" s="16">
        <f t="shared" si="4"/>
        <v>12.44</v>
      </c>
      <c r="F25" s="18"/>
      <c r="H25" s="18"/>
      <c r="J25" s="18">
        <v>14.6</v>
      </c>
      <c r="K25" s="18"/>
      <c r="N25" s="20">
        <v>10.27</v>
      </c>
      <c r="O25" s="17"/>
      <c r="P25" s="17"/>
      <c r="Q25" s="17"/>
    </row>
    <row r="26" ht="22.5" customHeight="1">
      <c r="A26" s="18" t="s">
        <v>55</v>
      </c>
      <c r="B26" s="16">
        <f t="shared" si="3"/>
        <v>11.15</v>
      </c>
      <c r="C26" s="16">
        <f t="shared" si="4"/>
        <v>11.15</v>
      </c>
      <c r="F26" s="18"/>
      <c r="H26" s="18"/>
      <c r="J26" s="18"/>
      <c r="K26" s="18"/>
      <c r="L26" s="18">
        <v>11.15</v>
      </c>
      <c r="N26" s="17"/>
      <c r="O26" s="17"/>
      <c r="P26" s="17"/>
      <c r="Q26" s="17"/>
    </row>
    <row r="27" ht="22.5" customHeight="1">
      <c r="A27" s="18" t="s">
        <v>56</v>
      </c>
      <c r="B27" s="16">
        <f t="shared" si="3"/>
        <v>10.68</v>
      </c>
      <c r="C27" s="16">
        <f t="shared" si="4"/>
        <v>10.68</v>
      </c>
      <c r="F27" s="18"/>
      <c r="H27" s="18"/>
      <c r="J27" s="18"/>
      <c r="K27" s="18"/>
      <c r="L27" s="18"/>
      <c r="N27" s="20">
        <v>10.68</v>
      </c>
      <c r="O27" s="17"/>
      <c r="P27" s="17"/>
      <c r="Q27" s="17"/>
    </row>
    <row r="28" ht="22.5" customHeight="1">
      <c r="A28" s="18" t="s">
        <v>57</v>
      </c>
      <c r="B28" s="16">
        <f t="shared" si="3"/>
        <v>12.41</v>
      </c>
      <c r="C28" s="16">
        <f t="shared" si="4"/>
        <v>12.41</v>
      </c>
      <c r="F28" s="18"/>
      <c r="H28" s="18"/>
      <c r="J28" s="18"/>
      <c r="K28" s="18"/>
      <c r="L28" s="18"/>
      <c r="N28" s="20">
        <v>12.41</v>
      </c>
      <c r="O28" s="17"/>
      <c r="P28" s="17"/>
      <c r="Q28" s="17"/>
    </row>
    <row r="29" ht="22.5" customHeight="1">
      <c r="A29" s="18" t="s">
        <v>58</v>
      </c>
      <c r="B29" s="16">
        <f t="shared" si="3"/>
        <v>4.9</v>
      </c>
      <c r="C29" s="16">
        <f t="shared" si="4"/>
        <v>4.9</v>
      </c>
      <c r="F29" s="18"/>
      <c r="H29" s="18"/>
      <c r="J29" s="18"/>
      <c r="K29" s="18"/>
      <c r="L29" s="18"/>
      <c r="N29" s="20">
        <v>4.9</v>
      </c>
      <c r="O29" s="17"/>
      <c r="P29" s="17"/>
      <c r="Q29" s="17"/>
    </row>
    <row r="30" ht="22.5" customHeight="1">
      <c r="A30" s="18" t="s">
        <v>59</v>
      </c>
      <c r="B30" s="16">
        <f t="shared" si="3"/>
        <v>10.63</v>
      </c>
      <c r="C30" s="16">
        <f t="shared" si="4"/>
        <v>10.63</v>
      </c>
      <c r="F30" s="18"/>
      <c r="H30" s="18"/>
      <c r="J30" s="18"/>
      <c r="K30" s="18"/>
      <c r="L30" s="18"/>
      <c r="N30" s="20">
        <v>10.63</v>
      </c>
      <c r="O30" s="17"/>
      <c r="P30" s="17"/>
      <c r="Q30" s="17"/>
    </row>
    <row r="31" ht="22.5" customHeight="1">
      <c r="A31" s="18" t="s">
        <v>60</v>
      </c>
      <c r="B31" s="16">
        <f t="shared" si="3"/>
        <v>5.7</v>
      </c>
      <c r="C31" s="16">
        <f t="shared" si="4"/>
        <v>5.7</v>
      </c>
      <c r="F31" s="18"/>
      <c r="H31" s="18"/>
      <c r="J31" s="18"/>
      <c r="K31" s="18"/>
      <c r="L31" s="18"/>
      <c r="N31" s="20"/>
      <c r="O31" s="17"/>
      <c r="P31" s="20">
        <v>5.7</v>
      </c>
      <c r="Q31" s="20" t="s">
        <v>25</v>
      </c>
    </row>
    <row r="32" ht="22.5" customHeight="1">
      <c r="A32" s="18" t="s">
        <v>61</v>
      </c>
      <c r="B32" s="16">
        <f t="shared" si="3"/>
        <v>5.91</v>
      </c>
      <c r="C32" s="16">
        <f t="shared" si="4"/>
        <v>5.91</v>
      </c>
      <c r="F32" s="18"/>
      <c r="H32" s="18"/>
      <c r="J32" s="18"/>
      <c r="K32" s="18"/>
      <c r="L32" s="18"/>
      <c r="N32" s="20"/>
      <c r="O32" s="17"/>
      <c r="P32" s="20">
        <v>5.91</v>
      </c>
      <c r="Q32" s="20" t="s">
        <v>19</v>
      </c>
    </row>
    <row r="33" ht="22.5" customHeight="1">
      <c r="A33" s="18" t="s">
        <v>62</v>
      </c>
      <c r="B33" s="16">
        <f t="shared" si="3"/>
        <v>4.56</v>
      </c>
      <c r="C33" s="16">
        <f t="shared" si="4"/>
        <v>4.56</v>
      </c>
      <c r="F33" s="18"/>
      <c r="H33" s="18"/>
      <c r="J33" s="18"/>
      <c r="K33" s="18"/>
      <c r="L33" s="18"/>
      <c r="N33" s="20"/>
      <c r="O33" s="17"/>
      <c r="P33" s="20">
        <v>4.56</v>
      </c>
      <c r="Q33" s="17"/>
    </row>
    <row r="34" ht="22.5" customHeight="1">
      <c r="A34" s="18" t="s">
        <v>63</v>
      </c>
      <c r="B34" s="16">
        <f t="shared" si="3"/>
        <v>9.45</v>
      </c>
      <c r="C34" s="16">
        <f t="shared" si="4"/>
        <v>9.48</v>
      </c>
      <c r="F34" s="18"/>
      <c r="H34" s="18"/>
      <c r="J34" s="18"/>
      <c r="K34" s="18"/>
      <c r="L34" s="18"/>
      <c r="N34" s="20">
        <v>9.5</v>
      </c>
      <c r="O34" s="17"/>
      <c r="P34" s="20">
        <v>9.45</v>
      </c>
      <c r="Q34" s="17"/>
    </row>
    <row r="35" ht="22.5" customHeight="1">
      <c r="A35" s="18" t="s">
        <v>64</v>
      </c>
      <c r="B35" s="16">
        <f t="shared" si="3"/>
        <v>5.22</v>
      </c>
      <c r="C35" s="16">
        <f t="shared" si="4"/>
        <v>5.22</v>
      </c>
      <c r="F35" s="18"/>
      <c r="H35" s="18"/>
      <c r="J35" s="18"/>
      <c r="K35" s="18"/>
      <c r="L35" s="18"/>
      <c r="N35" s="20"/>
      <c r="O35" s="17"/>
      <c r="P35" s="20">
        <v>5.22</v>
      </c>
      <c r="Q35" s="20" t="s">
        <v>25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2" width="15.75"/>
    <col customWidth="1" min="3" max="3" width="20.63"/>
    <col customWidth="1" min="4" max="4" width="13.38"/>
    <col customWidth="1" min="5" max="5" width="14.38"/>
    <col customWidth="1" min="6" max="6" width="16.75"/>
    <col customWidth="1" min="7" max="7" width="18.13"/>
    <col customWidth="1" min="8" max="8" width="20.25"/>
    <col customWidth="1" min="11" max="11" width="15.5"/>
    <col customWidth="1" min="13" max="13" width="18.38"/>
    <col customWidth="1" min="17" max="17" width="15.13"/>
    <col customWidth="1" min="20" max="20" width="13.88"/>
    <col customWidth="1" min="21" max="21" width="17.38"/>
    <col customWidth="1" min="25" max="25" width="14.5"/>
    <col customWidth="1" min="27" max="27" width="14.5"/>
  </cols>
  <sheetData>
    <row r="1" ht="22.5" customHeight="1">
      <c r="A1" s="1" t="s">
        <v>0</v>
      </c>
      <c r="B1" s="1" t="s">
        <v>1</v>
      </c>
      <c r="C1" s="1" t="s">
        <v>65</v>
      </c>
      <c r="D1" s="21" t="s">
        <v>66</v>
      </c>
      <c r="E1" s="1" t="s">
        <v>4</v>
      </c>
      <c r="F1" s="22" t="s">
        <v>67</v>
      </c>
      <c r="G1" s="22" t="s">
        <v>6</v>
      </c>
      <c r="H1" s="23" t="s">
        <v>68</v>
      </c>
      <c r="I1" s="22" t="s">
        <v>8</v>
      </c>
      <c r="J1" s="22" t="s">
        <v>69</v>
      </c>
      <c r="K1" s="22" t="s">
        <v>10</v>
      </c>
      <c r="L1" s="23" t="s">
        <v>70</v>
      </c>
      <c r="M1" s="23" t="s">
        <v>12</v>
      </c>
      <c r="N1" s="23" t="s">
        <v>71</v>
      </c>
      <c r="O1" s="23" t="s">
        <v>14</v>
      </c>
      <c r="P1" s="22" t="s">
        <v>72</v>
      </c>
      <c r="Q1" s="22" t="s">
        <v>16</v>
      </c>
      <c r="R1" s="22" t="s">
        <v>73</v>
      </c>
      <c r="S1" s="22" t="s">
        <v>74</v>
      </c>
      <c r="T1" s="22" t="s">
        <v>75</v>
      </c>
      <c r="U1" s="22" t="s">
        <v>76</v>
      </c>
      <c r="V1" s="22" t="s">
        <v>77</v>
      </c>
      <c r="W1" s="22" t="s">
        <v>78</v>
      </c>
      <c r="X1" s="23" t="s">
        <v>79</v>
      </c>
      <c r="Y1" s="2" t="s">
        <v>80</v>
      </c>
      <c r="Z1" s="23" t="s">
        <v>81</v>
      </c>
      <c r="AA1" s="23" t="s">
        <v>82</v>
      </c>
      <c r="AB1" s="23" t="s">
        <v>83</v>
      </c>
      <c r="AC1" s="23" t="s">
        <v>84</v>
      </c>
      <c r="AD1" s="23" t="s">
        <v>85</v>
      </c>
      <c r="AE1" s="23" t="s">
        <v>86</v>
      </c>
      <c r="AF1" s="23" t="s">
        <v>87</v>
      </c>
      <c r="AG1" s="2" t="s">
        <v>88</v>
      </c>
    </row>
    <row r="2" ht="22.5" customHeight="1">
      <c r="A2" s="3" t="s">
        <v>17</v>
      </c>
      <c r="B2" s="24">
        <f t="shared" ref="B2:B16" si="1">MIN(C2:XFK2)</f>
        <v>10.09</v>
      </c>
      <c r="C2" s="25">
        <v>14.1</v>
      </c>
      <c r="D2" s="4"/>
      <c r="E2" s="26" t="s">
        <v>26</v>
      </c>
      <c r="F2" s="27">
        <v>16.6</v>
      </c>
      <c r="G2" s="28" t="s">
        <v>89</v>
      </c>
      <c r="H2" s="29">
        <v>14.99</v>
      </c>
      <c r="I2" s="30"/>
      <c r="J2" s="31"/>
      <c r="K2" s="32" t="s">
        <v>26</v>
      </c>
      <c r="L2" s="33">
        <v>195.0</v>
      </c>
      <c r="M2" s="33" t="s">
        <v>90</v>
      </c>
      <c r="N2" s="33">
        <v>11.73</v>
      </c>
      <c r="O2" s="34"/>
      <c r="P2" s="33">
        <v>11.1</v>
      </c>
      <c r="Q2" s="32" t="s">
        <v>91</v>
      </c>
      <c r="R2" s="33">
        <v>10.09</v>
      </c>
      <c r="S2" s="32" t="s">
        <v>92</v>
      </c>
      <c r="T2" s="33">
        <v>11.05</v>
      </c>
      <c r="U2" s="30"/>
      <c r="V2" s="33">
        <v>15.51</v>
      </c>
      <c r="W2" s="32" t="s">
        <v>19</v>
      </c>
      <c r="X2" s="33">
        <v>16.76</v>
      </c>
      <c r="Y2" s="8"/>
      <c r="Z2" s="33">
        <v>13.37</v>
      </c>
      <c r="AA2" s="33" t="s">
        <v>93</v>
      </c>
      <c r="AB2" s="33">
        <v>17.0</v>
      </c>
      <c r="AC2" s="30"/>
      <c r="AD2" s="31"/>
      <c r="AE2" s="32" t="s">
        <v>94</v>
      </c>
      <c r="AF2" s="33"/>
    </row>
    <row r="3" ht="22.5" customHeight="1">
      <c r="A3" s="3" t="s">
        <v>21</v>
      </c>
      <c r="B3" s="24">
        <f t="shared" si="1"/>
        <v>7.1</v>
      </c>
      <c r="C3" s="35">
        <v>7.98</v>
      </c>
      <c r="D3" s="26">
        <v>9.9</v>
      </c>
      <c r="E3" s="4"/>
      <c r="F3" s="27">
        <v>10.15</v>
      </c>
      <c r="G3" s="31"/>
      <c r="H3" s="31"/>
      <c r="I3" s="32" t="s">
        <v>26</v>
      </c>
      <c r="J3" s="33">
        <v>7.65</v>
      </c>
      <c r="K3" s="30"/>
      <c r="L3" s="33">
        <v>12.11</v>
      </c>
      <c r="M3" s="33" t="s">
        <v>95</v>
      </c>
      <c r="N3" s="31"/>
      <c r="O3" s="32" t="s">
        <v>96</v>
      </c>
      <c r="P3" s="31"/>
      <c r="Q3" s="32" t="s">
        <v>96</v>
      </c>
      <c r="R3" s="31"/>
      <c r="S3" s="32" t="s">
        <v>26</v>
      </c>
      <c r="T3" s="33">
        <v>9.84</v>
      </c>
      <c r="U3" s="30"/>
      <c r="V3" s="31"/>
      <c r="W3" s="32" t="s">
        <v>26</v>
      </c>
      <c r="X3" s="33">
        <v>8.56</v>
      </c>
      <c r="Y3" s="8"/>
      <c r="Z3" s="33">
        <v>7.45</v>
      </c>
      <c r="AA3" s="33" t="s">
        <v>93</v>
      </c>
      <c r="AB3" s="33">
        <v>7.1</v>
      </c>
      <c r="AC3" s="30"/>
      <c r="AD3" s="31"/>
      <c r="AE3" s="32" t="s">
        <v>97</v>
      </c>
      <c r="AF3" s="33"/>
    </row>
    <row r="4" ht="22.5" customHeight="1">
      <c r="A4" s="3" t="s">
        <v>22</v>
      </c>
      <c r="B4" s="24">
        <f t="shared" si="1"/>
        <v>8</v>
      </c>
      <c r="C4" s="36"/>
      <c r="D4" s="4"/>
      <c r="E4" s="26" t="s">
        <v>26</v>
      </c>
      <c r="F4" s="37"/>
      <c r="G4" s="33" t="s">
        <v>26</v>
      </c>
      <c r="H4" s="33">
        <v>8.0</v>
      </c>
      <c r="I4" s="32" t="s">
        <v>19</v>
      </c>
      <c r="J4" s="31"/>
      <c r="K4" s="32" t="s">
        <v>26</v>
      </c>
      <c r="L4" s="33"/>
      <c r="M4" s="33" t="s">
        <v>26</v>
      </c>
      <c r="N4" s="38"/>
      <c r="O4" s="32" t="s">
        <v>26</v>
      </c>
      <c r="P4" s="33">
        <v>8.15</v>
      </c>
      <c r="Q4" s="32" t="s">
        <v>91</v>
      </c>
      <c r="R4" s="31"/>
      <c r="S4" s="32" t="s">
        <v>96</v>
      </c>
      <c r="T4" s="31"/>
      <c r="U4" s="32" t="s">
        <v>26</v>
      </c>
      <c r="V4" s="31"/>
      <c r="W4" s="32" t="s">
        <v>26</v>
      </c>
      <c r="X4" s="38"/>
      <c r="Y4" s="6" t="s">
        <v>26</v>
      </c>
      <c r="Z4" s="38"/>
      <c r="AA4" s="33" t="s">
        <v>26</v>
      </c>
      <c r="AB4" s="38"/>
      <c r="AC4" s="32" t="s">
        <v>26</v>
      </c>
      <c r="AD4" s="33"/>
      <c r="AE4" s="32" t="s">
        <v>97</v>
      </c>
      <c r="AF4" s="33"/>
    </row>
    <row r="5" ht="22.5" customHeight="1">
      <c r="A5" s="3" t="s">
        <v>24</v>
      </c>
      <c r="B5" s="24">
        <f t="shared" si="1"/>
        <v>5.3</v>
      </c>
      <c r="C5" s="35"/>
      <c r="D5" s="26">
        <v>7.5</v>
      </c>
      <c r="E5" s="4"/>
      <c r="F5" s="27">
        <v>7.3</v>
      </c>
      <c r="G5" s="33" t="s">
        <v>98</v>
      </c>
      <c r="H5" s="33">
        <v>5.3</v>
      </c>
      <c r="I5" s="30"/>
      <c r="J5" s="33">
        <v>5.42</v>
      </c>
      <c r="K5" s="6" t="s">
        <v>19</v>
      </c>
      <c r="L5" s="33">
        <v>8.2</v>
      </c>
      <c r="M5" s="33" t="s">
        <v>95</v>
      </c>
      <c r="N5" s="38"/>
      <c r="O5" s="32" t="s">
        <v>26</v>
      </c>
      <c r="P5" s="33">
        <v>6.05</v>
      </c>
      <c r="Q5" s="30"/>
      <c r="R5" s="31"/>
      <c r="S5" s="32" t="s">
        <v>26</v>
      </c>
      <c r="T5" s="31"/>
      <c r="U5" s="32" t="s">
        <v>26</v>
      </c>
      <c r="V5" s="33">
        <v>6.02</v>
      </c>
      <c r="W5" s="30"/>
      <c r="X5" s="33">
        <v>6.05</v>
      </c>
      <c r="Y5" s="8"/>
      <c r="Z5" s="33">
        <v>5.75</v>
      </c>
      <c r="AA5" s="33" t="s">
        <v>93</v>
      </c>
      <c r="AB5" s="33">
        <v>6.4</v>
      </c>
      <c r="AC5" s="30"/>
      <c r="AD5" s="33">
        <v>6.23</v>
      </c>
      <c r="AE5" s="30"/>
      <c r="AF5" s="31"/>
    </row>
    <row r="6" ht="22.5" customHeight="1">
      <c r="A6" s="3" t="s">
        <v>27</v>
      </c>
      <c r="B6" s="24">
        <f t="shared" si="1"/>
        <v>7.12</v>
      </c>
      <c r="C6" s="35">
        <v>8.5</v>
      </c>
      <c r="D6" s="26">
        <v>11.78</v>
      </c>
      <c r="E6" s="4"/>
      <c r="F6" s="27">
        <v>10.64</v>
      </c>
      <c r="G6" s="31"/>
      <c r="H6" s="33">
        <v>9.14</v>
      </c>
      <c r="I6" s="30"/>
      <c r="J6" s="33">
        <v>8.72</v>
      </c>
      <c r="K6" s="32" t="s">
        <v>99</v>
      </c>
      <c r="L6" s="33">
        <v>12.5</v>
      </c>
      <c r="M6" s="33" t="s">
        <v>95</v>
      </c>
      <c r="N6" s="33">
        <v>8.9</v>
      </c>
      <c r="O6" s="34"/>
      <c r="P6" s="33">
        <v>8.09</v>
      </c>
      <c r="Q6" s="32" t="s">
        <v>91</v>
      </c>
      <c r="R6" s="33">
        <v>8.53</v>
      </c>
      <c r="S6" s="32" t="s">
        <v>92</v>
      </c>
      <c r="T6" s="33">
        <v>7.63</v>
      </c>
      <c r="U6" s="30"/>
      <c r="V6" s="33">
        <v>7.5</v>
      </c>
      <c r="W6" s="32" t="s">
        <v>19</v>
      </c>
      <c r="X6" s="33">
        <v>7.4</v>
      </c>
      <c r="Y6" s="8"/>
      <c r="Z6" s="33">
        <v>7.8</v>
      </c>
      <c r="AA6" s="33" t="s">
        <v>93</v>
      </c>
      <c r="AB6" s="33">
        <v>8.1</v>
      </c>
      <c r="AC6" s="30"/>
      <c r="AD6" s="33">
        <v>7.12</v>
      </c>
      <c r="AE6" s="30"/>
      <c r="AF6" s="31"/>
    </row>
    <row r="7" ht="22.5" customHeight="1">
      <c r="A7" s="3" t="s">
        <v>28</v>
      </c>
      <c r="B7" s="24">
        <f t="shared" si="1"/>
        <v>13.38</v>
      </c>
      <c r="C7" s="25">
        <v>13.38</v>
      </c>
      <c r="D7" s="4"/>
      <c r="E7" s="26" t="s">
        <v>26</v>
      </c>
      <c r="F7" s="27">
        <v>26.75</v>
      </c>
      <c r="G7" s="39" t="s">
        <v>100</v>
      </c>
      <c r="H7" s="40">
        <v>20.28</v>
      </c>
      <c r="I7" s="32" t="s">
        <v>19</v>
      </c>
      <c r="J7" s="33">
        <v>17.8</v>
      </c>
      <c r="K7" s="30"/>
      <c r="L7" s="33">
        <v>203.0</v>
      </c>
      <c r="M7" s="33" t="s">
        <v>101</v>
      </c>
      <c r="N7" s="33">
        <v>13.8</v>
      </c>
      <c r="O7" s="30"/>
      <c r="P7" s="31"/>
      <c r="Q7" s="32" t="s">
        <v>30</v>
      </c>
      <c r="R7" s="33">
        <v>18.9</v>
      </c>
      <c r="S7" s="32" t="s">
        <v>26</v>
      </c>
      <c r="T7" s="33">
        <v>18.35</v>
      </c>
      <c r="U7" s="30"/>
      <c r="V7" s="33">
        <v>23.84</v>
      </c>
      <c r="W7" s="32" t="s">
        <v>30</v>
      </c>
      <c r="X7" s="33">
        <v>16.2</v>
      </c>
      <c r="Y7" s="8"/>
      <c r="Z7" s="33">
        <v>16.2</v>
      </c>
      <c r="AA7" s="33" t="s">
        <v>93</v>
      </c>
      <c r="AB7" s="31"/>
      <c r="AC7" s="32" t="s">
        <v>26</v>
      </c>
      <c r="AD7" s="33">
        <v>16.15</v>
      </c>
      <c r="AE7" s="30"/>
      <c r="AF7" s="31"/>
    </row>
    <row r="8" ht="22.5" customHeight="1">
      <c r="A8" s="3" t="s">
        <v>31</v>
      </c>
      <c r="B8" s="24">
        <f t="shared" si="1"/>
        <v>4.5</v>
      </c>
      <c r="C8" s="35"/>
      <c r="D8" s="26">
        <v>6.3</v>
      </c>
      <c r="E8" s="4"/>
      <c r="F8" s="27">
        <v>5.61</v>
      </c>
      <c r="G8" s="39" t="s">
        <v>25</v>
      </c>
      <c r="H8" s="40">
        <v>5.05</v>
      </c>
      <c r="I8" s="30"/>
      <c r="J8" s="33">
        <v>4.5</v>
      </c>
      <c r="K8" s="32" t="s">
        <v>19</v>
      </c>
      <c r="L8" s="33">
        <v>5.9</v>
      </c>
      <c r="M8" s="33" t="s">
        <v>102</v>
      </c>
      <c r="N8" s="33">
        <v>6.4</v>
      </c>
      <c r="O8" s="32" t="s">
        <v>19</v>
      </c>
      <c r="P8" s="31"/>
      <c r="Q8" s="32" t="s">
        <v>96</v>
      </c>
      <c r="R8" s="33">
        <v>6.24</v>
      </c>
      <c r="S8" s="32" t="s">
        <v>103</v>
      </c>
      <c r="T8" s="31"/>
      <c r="U8" s="32" t="s">
        <v>26</v>
      </c>
      <c r="V8" s="31"/>
      <c r="W8" s="32" t="s">
        <v>26</v>
      </c>
      <c r="X8" s="33">
        <v>5.67</v>
      </c>
      <c r="Y8" s="6" t="s">
        <v>19</v>
      </c>
      <c r="Z8" s="33">
        <v>7.91</v>
      </c>
      <c r="AA8" s="33" t="s">
        <v>93</v>
      </c>
      <c r="AB8" s="33">
        <v>6.5</v>
      </c>
      <c r="AC8" s="34"/>
      <c r="AD8" s="33">
        <v>5.5</v>
      </c>
      <c r="AE8" s="34"/>
      <c r="AF8" s="38"/>
    </row>
    <row r="9" ht="22.5" customHeight="1">
      <c r="A9" s="3" t="s">
        <v>32</v>
      </c>
      <c r="B9" s="24">
        <f t="shared" si="1"/>
        <v>7.37</v>
      </c>
      <c r="C9" s="35">
        <v>9.3</v>
      </c>
      <c r="D9" s="26">
        <v>8.85</v>
      </c>
      <c r="E9" s="26" t="s">
        <v>104</v>
      </c>
      <c r="F9" s="37"/>
      <c r="G9" s="33" t="s">
        <v>26</v>
      </c>
      <c r="H9" s="33">
        <v>8.2</v>
      </c>
      <c r="I9" s="30"/>
      <c r="J9" s="33">
        <v>7.87</v>
      </c>
      <c r="K9" s="30"/>
      <c r="L9" s="33">
        <v>19.0</v>
      </c>
      <c r="M9" s="33" t="s">
        <v>95</v>
      </c>
      <c r="N9" s="31"/>
      <c r="O9" s="32" t="s">
        <v>26</v>
      </c>
      <c r="P9" s="31"/>
      <c r="Q9" s="32" t="s">
        <v>26</v>
      </c>
      <c r="R9" s="31"/>
      <c r="S9" s="32" t="s">
        <v>96</v>
      </c>
      <c r="T9" s="33">
        <v>7.75</v>
      </c>
      <c r="U9" s="30"/>
      <c r="V9" s="31"/>
      <c r="W9" s="32" t="s">
        <v>26</v>
      </c>
      <c r="X9" s="7">
        <v>7.43</v>
      </c>
      <c r="Y9" s="8"/>
      <c r="Z9" s="33">
        <v>7.37</v>
      </c>
      <c r="AA9" s="33" t="s">
        <v>93</v>
      </c>
      <c r="AC9" s="32" t="s">
        <v>96</v>
      </c>
      <c r="AD9" s="33"/>
      <c r="AE9" s="32" t="s">
        <v>97</v>
      </c>
      <c r="AF9" s="33"/>
    </row>
    <row r="10" ht="22.5" customHeight="1">
      <c r="A10" s="3" t="s">
        <v>34</v>
      </c>
      <c r="B10" s="24">
        <f t="shared" si="1"/>
        <v>9.5</v>
      </c>
      <c r="C10" s="35">
        <v>11.94</v>
      </c>
      <c r="D10" s="26">
        <v>11.14</v>
      </c>
      <c r="E10" s="4"/>
      <c r="F10" s="27">
        <v>11.05</v>
      </c>
      <c r="G10" s="31"/>
      <c r="H10" s="33">
        <v>10.3</v>
      </c>
      <c r="I10" s="30"/>
      <c r="J10" s="33">
        <v>10.2</v>
      </c>
      <c r="K10" s="30"/>
      <c r="L10" s="31"/>
      <c r="M10" s="33" t="s">
        <v>26</v>
      </c>
      <c r="N10" s="33">
        <v>10.55</v>
      </c>
      <c r="O10" s="30"/>
      <c r="P10" s="33">
        <v>9.95</v>
      </c>
      <c r="Q10" s="30"/>
      <c r="R10" s="31"/>
      <c r="S10" s="32" t="s">
        <v>26</v>
      </c>
      <c r="T10" s="31"/>
      <c r="U10" s="32" t="s">
        <v>26</v>
      </c>
      <c r="V10" s="33">
        <v>9.76</v>
      </c>
      <c r="W10" s="32" t="s">
        <v>19</v>
      </c>
      <c r="X10" s="33">
        <v>9.5</v>
      </c>
      <c r="Y10" s="8"/>
      <c r="Z10" s="33"/>
      <c r="AA10" s="33" t="s">
        <v>96</v>
      </c>
      <c r="AB10" s="33">
        <v>9.65</v>
      </c>
      <c r="AC10" s="30"/>
      <c r="AD10" s="33">
        <v>11.36</v>
      </c>
      <c r="AE10" s="30"/>
      <c r="AF10" s="31"/>
    </row>
    <row r="11" ht="22.5" customHeight="1">
      <c r="A11" s="3" t="s">
        <v>35</v>
      </c>
      <c r="B11" s="24">
        <f t="shared" si="1"/>
        <v>3.65</v>
      </c>
      <c r="C11" s="35">
        <v>6.83</v>
      </c>
      <c r="D11" s="26">
        <v>4.55</v>
      </c>
      <c r="E11" s="4"/>
      <c r="F11" s="27">
        <v>4.18</v>
      </c>
      <c r="G11" s="33" t="s">
        <v>105</v>
      </c>
      <c r="H11" s="33">
        <v>3.88</v>
      </c>
      <c r="I11" s="30"/>
      <c r="J11" s="33">
        <v>4.15</v>
      </c>
      <c r="K11" s="30"/>
      <c r="L11" s="33">
        <v>5.6</v>
      </c>
      <c r="M11" s="33" t="s">
        <v>95</v>
      </c>
      <c r="N11" s="31"/>
      <c r="O11" s="32" t="s">
        <v>26</v>
      </c>
      <c r="P11" s="33">
        <v>3.65</v>
      </c>
      <c r="Q11" s="32" t="s">
        <v>106</v>
      </c>
      <c r="R11" s="33">
        <v>4.83</v>
      </c>
      <c r="S11" s="32" t="s">
        <v>92</v>
      </c>
      <c r="T11" s="33">
        <v>4.54</v>
      </c>
      <c r="U11" s="32" t="s">
        <v>107</v>
      </c>
      <c r="V11" s="33">
        <v>4.58</v>
      </c>
      <c r="W11" s="30"/>
      <c r="X11" s="33">
        <v>4.45</v>
      </c>
      <c r="Y11" s="8"/>
      <c r="Z11" s="33">
        <v>4.0</v>
      </c>
      <c r="AA11" s="33" t="s">
        <v>93</v>
      </c>
      <c r="AB11" s="33">
        <v>3.95</v>
      </c>
      <c r="AC11" s="32"/>
      <c r="AD11" s="33"/>
      <c r="AE11" s="32" t="s">
        <v>97</v>
      </c>
      <c r="AF11" s="33"/>
    </row>
    <row r="12" ht="22.5" customHeight="1">
      <c r="A12" s="3" t="s">
        <v>36</v>
      </c>
      <c r="B12" s="24">
        <f t="shared" si="1"/>
        <v>13</v>
      </c>
      <c r="C12" s="25">
        <v>30.3</v>
      </c>
      <c r="D12" s="26">
        <v>14.85</v>
      </c>
      <c r="E12" s="4"/>
      <c r="F12" s="37"/>
      <c r="G12" s="33" t="s">
        <v>26</v>
      </c>
      <c r="H12" s="33">
        <v>15.65</v>
      </c>
      <c r="I12" s="30"/>
      <c r="J12" s="33">
        <v>14.53</v>
      </c>
      <c r="K12" s="30"/>
      <c r="L12" s="33">
        <v>30.15</v>
      </c>
      <c r="M12" s="33" t="s">
        <v>90</v>
      </c>
      <c r="N12" s="33">
        <v>17.75</v>
      </c>
      <c r="O12" s="30"/>
      <c r="P12" s="31"/>
      <c r="Q12" s="32" t="s">
        <v>26</v>
      </c>
      <c r="R12" s="33">
        <v>18.92</v>
      </c>
      <c r="S12" s="30"/>
      <c r="T12" s="33">
        <v>14.1</v>
      </c>
      <c r="U12" s="32"/>
      <c r="V12" s="33">
        <v>22.3</v>
      </c>
      <c r="W12" s="32" t="s">
        <v>38</v>
      </c>
      <c r="X12" s="33">
        <v>14.15</v>
      </c>
      <c r="Y12" s="8"/>
      <c r="Z12" s="33">
        <v>28.07</v>
      </c>
      <c r="AA12" s="33" t="s">
        <v>93</v>
      </c>
      <c r="AB12" s="33">
        <v>13.0</v>
      </c>
      <c r="AC12" s="30"/>
      <c r="AD12" s="33">
        <v>13.5</v>
      </c>
      <c r="AE12" s="30"/>
      <c r="AF12" s="41">
        <v>46279.0</v>
      </c>
    </row>
    <row r="13" ht="22.5" customHeight="1">
      <c r="A13" s="3" t="s">
        <v>39</v>
      </c>
      <c r="B13" s="24">
        <f t="shared" si="1"/>
        <v>6.55</v>
      </c>
      <c r="C13" s="35"/>
      <c r="D13" s="4"/>
      <c r="E13" s="26" t="s">
        <v>26</v>
      </c>
      <c r="F13" s="37"/>
      <c r="G13" s="33" t="s">
        <v>26</v>
      </c>
      <c r="H13" s="33">
        <v>6.9</v>
      </c>
      <c r="I13" s="32" t="s">
        <v>19</v>
      </c>
      <c r="J13" s="33">
        <v>6.63</v>
      </c>
      <c r="K13" s="31"/>
      <c r="L13" s="7">
        <v>7.24</v>
      </c>
      <c r="M13" s="7" t="s">
        <v>108</v>
      </c>
      <c r="N13" s="33">
        <v>7.1</v>
      </c>
      <c r="O13" s="30"/>
      <c r="P13" s="31"/>
      <c r="Q13" s="32" t="s">
        <v>96</v>
      </c>
      <c r="R13" s="33">
        <v>6.83</v>
      </c>
      <c r="S13" s="30"/>
      <c r="T13" s="33">
        <v>7.08</v>
      </c>
      <c r="U13" s="30"/>
      <c r="V13" s="31"/>
      <c r="W13" s="32" t="s">
        <v>26</v>
      </c>
      <c r="X13" s="33">
        <v>6.73</v>
      </c>
      <c r="Y13" s="8"/>
      <c r="Z13" s="33">
        <v>7.6</v>
      </c>
      <c r="AA13" s="33" t="s">
        <v>93</v>
      </c>
      <c r="AB13" s="33">
        <v>7.67</v>
      </c>
      <c r="AC13" s="30"/>
      <c r="AD13" s="33">
        <v>6.55</v>
      </c>
      <c r="AE13" s="30"/>
      <c r="AF13" s="31"/>
    </row>
    <row r="14" ht="22.5" customHeight="1">
      <c r="A14" s="13" t="s">
        <v>47</v>
      </c>
      <c r="B14" s="24">
        <f t="shared" si="1"/>
        <v>6</v>
      </c>
      <c r="C14" s="35"/>
      <c r="D14" s="4"/>
      <c r="E14" s="26" t="s">
        <v>26</v>
      </c>
      <c r="F14" s="27">
        <v>8.1</v>
      </c>
      <c r="G14" s="31"/>
      <c r="H14" s="33">
        <v>6.8</v>
      </c>
      <c r="I14" s="32" t="s">
        <v>19</v>
      </c>
      <c r="J14" s="33">
        <v>6.0</v>
      </c>
      <c r="K14" s="32" t="s">
        <v>109</v>
      </c>
      <c r="L14" s="33">
        <v>16.2</v>
      </c>
      <c r="M14" s="33" t="s">
        <v>95</v>
      </c>
      <c r="N14" s="38"/>
      <c r="O14" s="32" t="s">
        <v>26</v>
      </c>
      <c r="P14" s="33">
        <v>7.53</v>
      </c>
      <c r="Q14" s="32" t="s">
        <v>106</v>
      </c>
      <c r="R14" s="33">
        <v>8.7</v>
      </c>
      <c r="S14" s="30"/>
      <c r="T14" s="33">
        <v>6.99</v>
      </c>
      <c r="U14" s="30"/>
      <c r="V14" s="33">
        <v>7.99</v>
      </c>
      <c r="W14" s="32" t="s">
        <v>19</v>
      </c>
      <c r="X14" s="33">
        <v>7.03</v>
      </c>
      <c r="Y14" s="6" t="s">
        <v>19</v>
      </c>
      <c r="Z14" s="33">
        <v>8.3</v>
      </c>
      <c r="AA14" s="33" t="s">
        <v>93</v>
      </c>
      <c r="AB14" s="33">
        <v>8.3</v>
      </c>
      <c r="AC14" s="34"/>
      <c r="AD14" s="38"/>
      <c r="AE14" s="32" t="s">
        <v>97</v>
      </c>
      <c r="AF14" s="33"/>
    </row>
    <row r="15" ht="22.5" customHeight="1">
      <c r="A15" s="3" t="s">
        <v>40</v>
      </c>
      <c r="B15" s="42">
        <f t="shared" si="1"/>
        <v>6.06</v>
      </c>
      <c r="C15" s="35">
        <v>7.14</v>
      </c>
      <c r="D15" s="26">
        <v>7.86</v>
      </c>
      <c r="E15" s="4"/>
      <c r="F15" s="27">
        <v>9.5</v>
      </c>
      <c r="G15" s="31"/>
      <c r="H15" s="33">
        <v>7.53</v>
      </c>
      <c r="I15" s="30"/>
      <c r="J15" s="33">
        <v>7.8</v>
      </c>
      <c r="K15" s="32" t="s">
        <v>19</v>
      </c>
      <c r="L15" s="33">
        <v>14.83</v>
      </c>
      <c r="M15" s="33" t="s">
        <v>108</v>
      </c>
      <c r="N15" s="33">
        <v>6.45</v>
      </c>
      <c r="O15" s="32" t="s">
        <v>19</v>
      </c>
      <c r="P15" s="33">
        <v>7.3</v>
      </c>
      <c r="Q15" s="32" t="s">
        <v>19</v>
      </c>
      <c r="R15" s="33">
        <v>6.25</v>
      </c>
      <c r="S15" s="32" t="s">
        <v>25</v>
      </c>
      <c r="T15" s="33">
        <v>6.88</v>
      </c>
      <c r="U15" s="30"/>
      <c r="V15" s="33">
        <v>7.04</v>
      </c>
      <c r="W15" s="32" t="s">
        <v>19</v>
      </c>
      <c r="X15" s="33">
        <v>6.06</v>
      </c>
      <c r="Y15" s="6" t="s">
        <v>19</v>
      </c>
      <c r="Z15" s="33">
        <v>6.3</v>
      </c>
      <c r="AA15" s="33" t="s">
        <v>93</v>
      </c>
      <c r="AB15" s="33">
        <v>9.5</v>
      </c>
      <c r="AC15" s="34"/>
      <c r="AD15" s="33">
        <v>7.5</v>
      </c>
      <c r="AE15" s="32" t="s">
        <v>110</v>
      </c>
      <c r="AF15" s="33"/>
    </row>
    <row r="16" ht="22.5" customHeight="1">
      <c r="A16" s="43" t="s">
        <v>41</v>
      </c>
      <c r="B16" s="24">
        <f t="shared" si="1"/>
        <v>3.27</v>
      </c>
      <c r="C16" s="44"/>
      <c r="D16" s="26"/>
      <c r="E16" s="4"/>
      <c r="F16" s="33"/>
      <c r="G16" s="31"/>
      <c r="H16" s="33"/>
      <c r="I16" s="31"/>
      <c r="J16" s="33">
        <v>3.27</v>
      </c>
      <c r="K16" s="33" t="s">
        <v>25</v>
      </c>
      <c r="L16" s="38"/>
      <c r="M16" s="38"/>
      <c r="N16" s="38"/>
      <c r="O16" s="38"/>
      <c r="P16" s="31"/>
      <c r="Q16" s="31"/>
      <c r="R16" s="31"/>
      <c r="S16" s="31"/>
      <c r="T16" s="33">
        <v>3.93</v>
      </c>
      <c r="U16" s="31"/>
      <c r="V16" s="31"/>
      <c r="W16" s="31"/>
      <c r="X16" s="33">
        <v>4.04</v>
      </c>
      <c r="Y16" s="8"/>
      <c r="Z16" s="33">
        <v>3.65</v>
      </c>
      <c r="AA16" s="33" t="s">
        <v>93</v>
      </c>
      <c r="AB16" s="33">
        <v>3.9</v>
      </c>
      <c r="AC16" s="30"/>
      <c r="AD16" s="33">
        <v>4.53</v>
      </c>
      <c r="AE16" s="30"/>
      <c r="AF16" s="31"/>
    </row>
    <row r="17" ht="22.5" customHeight="1">
      <c r="A17" s="45" t="s">
        <v>45</v>
      </c>
      <c r="B17" s="16"/>
      <c r="C17" s="46"/>
      <c r="D17" s="47"/>
      <c r="E17" s="16"/>
      <c r="F17" s="20"/>
      <c r="G17" s="17"/>
      <c r="H17" s="20"/>
      <c r="I17" s="17"/>
      <c r="J17" s="20"/>
      <c r="K17" s="17"/>
      <c r="L17" s="17"/>
      <c r="M17" s="17"/>
      <c r="N17" s="17"/>
      <c r="P17" s="17"/>
      <c r="Q17" s="17"/>
      <c r="R17" s="17"/>
      <c r="S17" s="17"/>
      <c r="T17" s="17"/>
      <c r="U17" s="17"/>
      <c r="V17" s="17"/>
      <c r="W17" s="17"/>
      <c r="X17" s="17"/>
      <c r="Z17" s="17"/>
      <c r="AA17" s="17"/>
      <c r="AB17" s="17"/>
      <c r="AC17" s="17"/>
      <c r="AD17" s="17"/>
      <c r="AE17" s="17"/>
      <c r="AF17" s="17"/>
    </row>
    <row r="18" ht="22.5" customHeight="1">
      <c r="A18" s="47" t="s">
        <v>111</v>
      </c>
      <c r="B18" s="46">
        <f t="shared" ref="B18:B26" si="2">MIN(C18:XFK18)</f>
        <v>8.93</v>
      </c>
      <c r="C18" s="46"/>
      <c r="D18" s="47"/>
      <c r="E18" s="16"/>
      <c r="F18" s="20"/>
      <c r="G18" s="17"/>
      <c r="H18" s="20"/>
      <c r="I18" s="17"/>
      <c r="J18" s="20">
        <v>8.93</v>
      </c>
      <c r="K18" s="17"/>
      <c r="L18" s="17"/>
      <c r="M18" s="17"/>
      <c r="N18" s="17"/>
      <c r="P18" s="17"/>
      <c r="Q18" s="17"/>
      <c r="R18" s="17"/>
      <c r="S18" s="17"/>
      <c r="T18" s="17"/>
      <c r="U18" s="17"/>
      <c r="V18" s="17"/>
      <c r="W18" s="17"/>
      <c r="X18" s="17"/>
      <c r="Z18" s="17"/>
      <c r="AA18" s="17"/>
      <c r="AB18" s="17"/>
      <c r="AC18" s="17"/>
      <c r="AD18" s="17"/>
      <c r="AE18" s="17"/>
      <c r="AF18" s="17"/>
    </row>
    <row r="19" ht="22.5" customHeight="1">
      <c r="A19" s="48" t="s">
        <v>112</v>
      </c>
      <c r="B19" s="46">
        <f t="shared" si="2"/>
        <v>8.62</v>
      </c>
      <c r="C19" s="49"/>
      <c r="D19" s="48"/>
      <c r="E19" s="15"/>
      <c r="F19" s="20">
        <v>8.62</v>
      </c>
      <c r="G19" s="20" t="s">
        <v>113</v>
      </c>
      <c r="H19" s="19"/>
      <c r="I19" s="17"/>
      <c r="J19" s="17"/>
      <c r="K19" s="17"/>
      <c r="L19" s="20">
        <v>20.57</v>
      </c>
      <c r="M19" s="18" t="s">
        <v>95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Z19" s="17"/>
      <c r="AA19" s="17"/>
      <c r="AB19" s="17"/>
      <c r="AC19" s="17"/>
      <c r="AD19" s="17"/>
      <c r="AE19" s="17"/>
      <c r="AF19" s="17"/>
    </row>
    <row r="20" ht="22.5" customHeight="1">
      <c r="A20" s="20" t="s">
        <v>114</v>
      </c>
      <c r="B20" s="46">
        <f t="shared" si="2"/>
        <v>14.7</v>
      </c>
      <c r="C20" s="50"/>
      <c r="D20" s="17"/>
      <c r="E20" s="17"/>
      <c r="F20" s="17"/>
      <c r="G20" s="17"/>
      <c r="H20" s="17"/>
      <c r="I20" s="17"/>
      <c r="J20" s="20">
        <v>14.7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Z20" s="17"/>
      <c r="AA20" s="17"/>
      <c r="AB20" s="17"/>
      <c r="AC20" s="17"/>
      <c r="AD20" s="17"/>
      <c r="AE20" s="17"/>
      <c r="AF20" s="17"/>
    </row>
    <row r="21" ht="22.5" customHeight="1">
      <c r="A21" s="20" t="s">
        <v>115</v>
      </c>
      <c r="B21" s="46">
        <f t="shared" si="2"/>
        <v>7.6</v>
      </c>
      <c r="C21" s="50"/>
      <c r="D21" s="17"/>
      <c r="E21" s="17"/>
      <c r="F21" s="17"/>
      <c r="G21" s="17"/>
      <c r="H21" s="17"/>
      <c r="I21" s="17"/>
      <c r="J21" s="20">
        <v>7.6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Z21" s="17"/>
      <c r="AA21" s="17"/>
      <c r="AB21" s="17"/>
      <c r="AC21" s="17"/>
      <c r="AD21" s="17"/>
      <c r="AE21" s="17"/>
      <c r="AF21" s="17"/>
    </row>
    <row r="22" ht="22.5" customHeight="1">
      <c r="A22" s="20" t="s">
        <v>116</v>
      </c>
      <c r="B22" s="46">
        <f t="shared" si="2"/>
        <v>6.8</v>
      </c>
      <c r="C22" s="50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20">
        <v>6.8</v>
      </c>
      <c r="O22" s="20" t="s">
        <v>19</v>
      </c>
      <c r="P22" s="17"/>
      <c r="Q22" s="17"/>
      <c r="R22" s="17"/>
      <c r="S22" s="17"/>
      <c r="T22" s="17"/>
      <c r="U22" s="17"/>
      <c r="V22" s="17"/>
      <c r="W22" s="17"/>
      <c r="X22" s="17"/>
      <c r="Z22" s="17"/>
      <c r="AA22" s="17"/>
      <c r="AB22" s="17"/>
      <c r="AC22" s="17"/>
      <c r="AD22" s="17"/>
      <c r="AE22" s="17"/>
      <c r="AF22" s="17"/>
    </row>
    <row r="23" ht="22.5" customHeight="1">
      <c r="A23" s="20" t="s">
        <v>117</v>
      </c>
      <c r="B23" s="46">
        <f t="shared" si="2"/>
        <v>7.4</v>
      </c>
      <c r="C23" s="50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20">
        <v>7.4</v>
      </c>
      <c r="O23" s="17"/>
      <c r="P23" s="17"/>
      <c r="Q23" s="17"/>
      <c r="R23" s="17"/>
      <c r="S23" s="17"/>
      <c r="T23" s="17"/>
      <c r="U23" s="17"/>
      <c r="V23" s="17"/>
      <c r="W23" s="17"/>
      <c r="X23" s="17"/>
      <c r="Z23" s="17"/>
      <c r="AA23" s="17"/>
      <c r="AB23" s="17"/>
      <c r="AC23" s="17"/>
      <c r="AD23" s="17"/>
      <c r="AE23" s="17"/>
      <c r="AF23" s="17"/>
    </row>
    <row r="24" ht="22.5" customHeight="1">
      <c r="A24" s="20" t="s">
        <v>118</v>
      </c>
      <c r="B24" s="46">
        <f t="shared" si="2"/>
        <v>7.24</v>
      </c>
      <c r="C24" s="50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20">
        <v>7.24</v>
      </c>
      <c r="O24" s="20" t="s">
        <v>19</v>
      </c>
      <c r="P24" s="17"/>
      <c r="Q24" s="17"/>
      <c r="R24" s="17"/>
      <c r="S24" s="17"/>
      <c r="T24" s="17"/>
      <c r="U24" s="17"/>
      <c r="V24" s="17"/>
      <c r="W24" s="17"/>
      <c r="X24" s="17"/>
      <c r="Z24" s="17"/>
      <c r="AA24" s="17"/>
      <c r="AB24" s="17"/>
      <c r="AC24" s="17"/>
      <c r="AD24" s="17"/>
      <c r="AE24" s="17"/>
      <c r="AF24" s="17"/>
    </row>
    <row r="25" ht="22.5" customHeight="1">
      <c r="A25" s="20" t="s">
        <v>119</v>
      </c>
      <c r="B25" s="46">
        <f t="shared" si="2"/>
        <v>12.73</v>
      </c>
      <c r="C25" s="50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20">
        <v>12.73</v>
      </c>
      <c r="O25" s="17"/>
      <c r="P25" s="17"/>
      <c r="Q25" s="17"/>
      <c r="R25" s="17"/>
      <c r="S25" s="17"/>
      <c r="T25" s="17"/>
      <c r="U25" s="17"/>
      <c r="V25" s="17"/>
      <c r="W25" s="17"/>
      <c r="X25" s="17"/>
      <c r="Z25" s="17"/>
      <c r="AA25" s="17"/>
      <c r="AB25" s="17"/>
      <c r="AC25" s="17"/>
      <c r="AD25" s="17"/>
      <c r="AE25" s="17"/>
      <c r="AF25" s="17"/>
    </row>
    <row r="26" ht="22.5" customHeight="1">
      <c r="A26" s="20" t="s">
        <v>46</v>
      </c>
      <c r="B26" s="46">
        <f t="shared" si="2"/>
        <v>17.85</v>
      </c>
      <c r="C26" s="50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20">
        <v>17.85</v>
      </c>
      <c r="U26" s="17"/>
      <c r="V26" s="17"/>
      <c r="W26" s="17"/>
      <c r="X26" s="17"/>
      <c r="Z26" s="17"/>
      <c r="AA26" s="17"/>
      <c r="AB26" s="17"/>
      <c r="AC26" s="17"/>
      <c r="AD26" s="17"/>
      <c r="AE26" s="17"/>
      <c r="AF26" s="17"/>
    </row>
  </sheetData>
  <dataValidations>
    <dataValidation type="custom" allowBlank="1" showDropDown="1" sqref="C2:C26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6" max="6" width="27.0"/>
  </cols>
  <sheetData>
    <row r="1">
      <c r="A1" s="51" t="s">
        <v>120</v>
      </c>
      <c r="B1" s="52"/>
      <c r="C1" s="52"/>
      <c r="D1" s="53"/>
      <c r="E1" s="52"/>
      <c r="F1" s="54" t="s">
        <v>121</v>
      </c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</row>
    <row r="2">
      <c r="A2" s="55" t="s">
        <v>122</v>
      </c>
      <c r="B2" s="56" t="str">
        <f>SUM(B6+E6+H6+K6+N6+Q6+T6+W6+Z6+AC6+AF6+AI6+AL6+#REF!)</f>
        <v>#REF!</v>
      </c>
      <c r="C2" s="57" t="s">
        <v>123</v>
      </c>
      <c r="D2" s="58" t="str">
        <f>SUM(B6+E6+H6+K6+N6+Q6+T6+W6+Z6+AC6+AF6+AI6+AL6+#REF!)/14</f>
        <v>#REF!</v>
      </c>
      <c r="E2" s="52"/>
      <c r="F2" s="54" t="s">
        <v>124</v>
      </c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</row>
    <row r="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</row>
    <row r="4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</row>
    <row r="5">
      <c r="A5" s="59" t="s">
        <v>17</v>
      </c>
      <c r="B5" s="60"/>
      <c r="C5" s="61"/>
      <c r="D5" s="62" t="s">
        <v>21</v>
      </c>
      <c r="E5" s="63"/>
      <c r="F5" s="64"/>
      <c r="G5" s="65" t="s">
        <v>22</v>
      </c>
      <c r="H5" s="66"/>
      <c r="I5" s="67"/>
      <c r="J5" s="68" t="s">
        <v>24</v>
      </c>
      <c r="K5" s="69"/>
      <c r="L5" s="70"/>
      <c r="M5" s="71" t="s">
        <v>27</v>
      </c>
      <c r="N5" s="72"/>
      <c r="O5" s="73"/>
      <c r="P5" s="74" t="s">
        <v>28</v>
      </c>
      <c r="Q5" s="75"/>
      <c r="R5" s="76"/>
      <c r="S5" s="77" t="s">
        <v>31</v>
      </c>
      <c r="T5" s="78"/>
      <c r="U5" s="79"/>
      <c r="V5" s="59" t="s">
        <v>32</v>
      </c>
      <c r="W5" s="60"/>
      <c r="X5" s="61"/>
      <c r="Y5" s="80" t="s">
        <v>34</v>
      </c>
      <c r="Z5" s="63"/>
      <c r="AA5" s="64"/>
      <c r="AB5" s="65" t="s">
        <v>35</v>
      </c>
      <c r="AC5" s="66"/>
      <c r="AD5" s="67"/>
      <c r="AE5" s="68" t="s">
        <v>36</v>
      </c>
      <c r="AF5" s="69"/>
      <c r="AG5" s="70"/>
      <c r="AH5" s="71" t="s">
        <v>39</v>
      </c>
      <c r="AI5" s="72"/>
      <c r="AJ5" s="73"/>
      <c r="AK5" s="74" t="s">
        <v>40</v>
      </c>
      <c r="AL5" s="75"/>
      <c r="AM5" s="81"/>
      <c r="AN5" s="82" t="s">
        <v>47</v>
      </c>
      <c r="AO5" s="83"/>
      <c r="AP5" s="84"/>
    </row>
    <row r="6">
      <c r="A6" s="85" t="s">
        <v>125</v>
      </c>
      <c r="B6" s="86">
        <f>SUM(B9:B76)</f>
        <v>4</v>
      </c>
      <c r="C6" s="87"/>
      <c r="D6" s="88" t="s">
        <v>125</v>
      </c>
      <c r="E6" s="89">
        <f>SUM(E9:E76)</f>
        <v>12</v>
      </c>
      <c r="F6" s="90"/>
      <c r="G6" s="91" t="s">
        <v>125</v>
      </c>
      <c r="H6" s="92">
        <f>SUM(H9:H76)</f>
        <v>17</v>
      </c>
      <c r="I6" s="93"/>
      <c r="J6" s="94" t="s">
        <v>125</v>
      </c>
      <c r="K6" s="95">
        <f>SUM(K9:K76)</f>
        <v>6</v>
      </c>
      <c r="L6" s="96"/>
      <c r="M6" s="97" t="s">
        <v>125</v>
      </c>
      <c r="N6" s="98">
        <f>SUM(N9:N76)</f>
        <v>0</v>
      </c>
      <c r="O6" s="99"/>
      <c r="P6" s="100" t="s">
        <v>125</v>
      </c>
      <c r="Q6" s="101">
        <f>SUM(Q9:Q76)</f>
        <v>6</v>
      </c>
      <c r="R6" s="102"/>
      <c r="S6" s="103" t="s">
        <v>125</v>
      </c>
      <c r="T6" s="104">
        <f>SUM(T9:T76)</f>
        <v>9</v>
      </c>
      <c r="U6" s="105"/>
      <c r="V6" s="85" t="s">
        <v>125</v>
      </c>
      <c r="W6" s="86">
        <f>SUM(W9:W76)</f>
        <v>7</v>
      </c>
      <c r="X6" s="87"/>
      <c r="Y6" s="106" t="s">
        <v>125</v>
      </c>
      <c r="Z6" s="89">
        <f>SUM(Z9:Z76)</f>
        <v>6</v>
      </c>
      <c r="AA6" s="90"/>
      <c r="AB6" s="91" t="s">
        <v>125</v>
      </c>
      <c r="AC6" s="92">
        <f>SUM(AC9:AC76)</f>
        <v>2</v>
      </c>
      <c r="AD6" s="93"/>
      <c r="AE6" s="94" t="s">
        <v>125</v>
      </c>
      <c r="AF6" s="95">
        <f>SUM(AF9:AF76)</f>
        <v>6</v>
      </c>
      <c r="AG6" s="96"/>
      <c r="AH6" s="97" t="s">
        <v>125</v>
      </c>
      <c r="AI6" s="98">
        <f>SUM(AI9:AI76)</f>
        <v>7</v>
      </c>
      <c r="AJ6" s="99"/>
      <c r="AK6" s="100" t="s">
        <v>125</v>
      </c>
      <c r="AL6" s="101">
        <f>SUM(AL9:AL76)</f>
        <v>3</v>
      </c>
      <c r="AM6" s="107"/>
      <c r="AN6" s="108" t="s">
        <v>125</v>
      </c>
      <c r="AO6" s="109">
        <f>SUM(AO9:AO76)</f>
        <v>6</v>
      </c>
      <c r="AP6" s="110"/>
    </row>
    <row r="7">
      <c r="A7" s="111"/>
      <c r="B7" s="112"/>
      <c r="C7" s="87"/>
      <c r="D7" s="113"/>
      <c r="E7" s="113"/>
      <c r="F7" s="90"/>
      <c r="G7" s="114"/>
      <c r="H7" s="115"/>
      <c r="I7" s="93"/>
      <c r="J7" s="116"/>
      <c r="K7" s="117"/>
      <c r="L7" s="96"/>
      <c r="M7" s="118"/>
      <c r="N7" s="119"/>
      <c r="O7" s="99"/>
      <c r="P7" s="120"/>
      <c r="Q7" s="121"/>
      <c r="R7" s="102"/>
      <c r="S7" s="122"/>
      <c r="T7" s="123"/>
      <c r="U7" s="105"/>
      <c r="V7" s="111"/>
      <c r="W7" s="112"/>
      <c r="X7" s="87"/>
      <c r="Y7" s="124"/>
      <c r="Z7" s="113"/>
      <c r="AA7" s="90"/>
      <c r="AB7" s="114"/>
      <c r="AC7" s="115"/>
      <c r="AD7" s="93"/>
      <c r="AE7" s="116"/>
      <c r="AF7" s="117"/>
      <c r="AG7" s="96"/>
      <c r="AH7" s="118"/>
      <c r="AI7" s="119"/>
      <c r="AJ7" s="99"/>
      <c r="AK7" s="120"/>
      <c r="AL7" s="121"/>
      <c r="AM7" s="125"/>
      <c r="AN7" s="126"/>
      <c r="AO7" s="127"/>
      <c r="AP7" s="128"/>
    </row>
    <row r="8">
      <c r="A8" s="129" t="s">
        <v>126</v>
      </c>
      <c r="B8" s="130" t="s">
        <v>127</v>
      </c>
      <c r="C8" s="131" t="s">
        <v>128</v>
      </c>
      <c r="D8" s="132" t="s">
        <v>126</v>
      </c>
      <c r="E8" s="132" t="s">
        <v>127</v>
      </c>
      <c r="F8" s="133" t="s">
        <v>128</v>
      </c>
      <c r="G8" s="134" t="s">
        <v>126</v>
      </c>
      <c r="H8" s="135" t="s">
        <v>127</v>
      </c>
      <c r="I8" s="136" t="s">
        <v>128</v>
      </c>
      <c r="J8" s="137" t="s">
        <v>126</v>
      </c>
      <c r="K8" s="138" t="s">
        <v>127</v>
      </c>
      <c r="L8" s="139" t="s">
        <v>128</v>
      </c>
      <c r="M8" s="140" t="s">
        <v>126</v>
      </c>
      <c r="N8" s="141" t="s">
        <v>127</v>
      </c>
      <c r="O8" s="142" t="s">
        <v>128</v>
      </c>
      <c r="P8" s="143" t="s">
        <v>126</v>
      </c>
      <c r="Q8" s="144" t="s">
        <v>127</v>
      </c>
      <c r="R8" s="145" t="s">
        <v>128</v>
      </c>
      <c r="S8" s="146" t="s">
        <v>126</v>
      </c>
      <c r="T8" s="147" t="s">
        <v>127</v>
      </c>
      <c r="U8" s="148" t="s">
        <v>128</v>
      </c>
      <c r="V8" s="129" t="s">
        <v>126</v>
      </c>
      <c r="W8" s="130" t="s">
        <v>127</v>
      </c>
      <c r="X8" s="131" t="s">
        <v>128</v>
      </c>
      <c r="Y8" s="149" t="s">
        <v>126</v>
      </c>
      <c r="Z8" s="132" t="s">
        <v>127</v>
      </c>
      <c r="AA8" s="133" t="s">
        <v>128</v>
      </c>
      <c r="AB8" s="134" t="s">
        <v>126</v>
      </c>
      <c r="AC8" s="135" t="s">
        <v>127</v>
      </c>
      <c r="AD8" s="136" t="s">
        <v>128</v>
      </c>
      <c r="AE8" s="137" t="s">
        <v>126</v>
      </c>
      <c r="AF8" s="138" t="s">
        <v>127</v>
      </c>
      <c r="AG8" s="139" t="s">
        <v>128</v>
      </c>
      <c r="AH8" s="140" t="s">
        <v>126</v>
      </c>
      <c r="AI8" s="141" t="s">
        <v>127</v>
      </c>
      <c r="AJ8" s="142" t="s">
        <v>128</v>
      </c>
      <c r="AK8" s="143" t="s">
        <v>126</v>
      </c>
      <c r="AL8" s="144" t="s">
        <v>127</v>
      </c>
      <c r="AM8" s="150"/>
      <c r="AN8" s="151" t="s">
        <v>126</v>
      </c>
      <c r="AO8" s="152" t="s">
        <v>127</v>
      </c>
      <c r="AP8" s="153" t="s">
        <v>128</v>
      </c>
    </row>
    <row r="9">
      <c r="A9" s="154">
        <v>45912.0</v>
      </c>
      <c r="B9" s="155">
        <v>1.0</v>
      </c>
      <c r="C9" s="155" t="s">
        <v>26</v>
      </c>
      <c r="D9" s="156">
        <v>45926.0</v>
      </c>
      <c r="E9" s="157">
        <v>2.0</v>
      </c>
      <c r="F9" s="157" t="s">
        <v>26</v>
      </c>
      <c r="G9" s="158">
        <v>45912.0</v>
      </c>
      <c r="H9" s="159">
        <v>1.0</v>
      </c>
      <c r="I9" s="159" t="s">
        <v>26</v>
      </c>
      <c r="J9" s="160">
        <v>45947.0</v>
      </c>
      <c r="K9" s="161">
        <v>2.0</v>
      </c>
      <c r="L9" s="161" t="s">
        <v>26</v>
      </c>
      <c r="M9" s="162"/>
      <c r="N9" s="163"/>
      <c r="O9" s="163"/>
      <c r="P9" s="164">
        <v>45912.0</v>
      </c>
      <c r="Q9" s="165">
        <v>1.0</v>
      </c>
      <c r="R9" s="165" t="s">
        <v>26</v>
      </c>
      <c r="S9" s="166">
        <v>45919.0</v>
      </c>
      <c r="T9" s="167">
        <v>1.0</v>
      </c>
      <c r="U9" s="167" t="s">
        <v>25</v>
      </c>
      <c r="V9" s="154">
        <v>45919.0</v>
      </c>
      <c r="W9" s="155">
        <v>1.0</v>
      </c>
      <c r="X9" s="155" t="s">
        <v>26</v>
      </c>
      <c r="Y9" s="156">
        <v>45939.0</v>
      </c>
      <c r="Z9" s="157">
        <v>2.0</v>
      </c>
      <c r="AA9" s="157" t="s">
        <v>26</v>
      </c>
      <c r="AB9" s="168">
        <v>45947.0</v>
      </c>
      <c r="AC9" s="159">
        <v>2.0</v>
      </c>
      <c r="AD9" s="159" t="s">
        <v>26</v>
      </c>
      <c r="AE9" s="160">
        <v>45919.0</v>
      </c>
      <c r="AF9" s="161">
        <v>1.0</v>
      </c>
      <c r="AG9" s="161" t="s">
        <v>26</v>
      </c>
      <c r="AH9" s="169">
        <v>45912.0</v>
      </c>
      <c r="AI9" s="170">
        <v>1.0</v>
      </c>
      <c r="AJ9" s="170" t="s">
        <v>26</v>
      </c>
      <c r="AK9" s="164">
        <v>45947.0</v>
      </c>
      <c r="AL9" s="165">
        <v>1.0</v>
      </c>
      <c r="AM9" s="165" t="s">
        <v>19</v>
      </c>
      <c r="AN9" s="171">
        <v>45912.0</v>
      </c>
      <c r="AO9" s="172">
        <v>1.0</v>
      </c>
      <c r="AP9" s="173" t="s">
        <v>26</v>
      </c>
    </row>
    <row r="10">
      <c r="A10" s="174">
        <v>45919.0</v>
      </c>
      <c r="B10" s="175">
        <v>1.0</v>
      </c>
      <c r="C10" s="175" t="s">
        <v>25</v>
      </c>
      <c r="D10" s="176">
        <v>45947.0</v>
      </c>
      <c r="E10" s="177">
        <v>3.0</v>
      </c>
      <c r="F10" s="177" t="s">
        <v>96</v>
      </c>
      <c r="G10" s="178">
        <v>45919.0</v>
      </c>
      <c r="H10" s="179">
        <v>1.0</v>
      </c>
      <c r="I10" s="179" t="s">
        <v>26</v>
      </c>
      <c r="J10" s="160">
        <v>45961.0</v>
      </c>
      <c r="K10" s="161">
        <v>2.0</v>
      </c>
      <c r="L10" s="161" t="s">
        <v>26</v>
      </c>
      <c r="M10" s="180"/>
      <c r="N10" s="181"/>
      <c r="O10" s="181"/>
      <c r="P10" s="182">
        <v>45919.0</v>
      </c>
      <c r="Q10" s="183">
        <v>1.0</v>
      </c>
      <c r="R10" s="183" t="s">
        <v>38</v>
      </c>
      <c r="S10" s="184">
        <v>45947.0</v>
      </c>
      <c r="T10" s="185">
        <v>1.0</v>
      </c>
      <c r="U10" s="185" t="s">
        <v>19</v>
      </c>
      <c r="V10" s="186">
        <v>45947.0</v>
      </c>
      <c r="W10" s="175">
        <v>2.0</v>
      </c>
      <c r="X10" s="175" t="s">
        <v>26</v>
      </c>
      <c r="Y10" s="187">
        <v>45961.0</v>
      </c>
      <c r="Z10" s="177">
        <v>2.0</v>
      </c>
      <c r="AA10" s="177" t="s">
        <v>26</v>
      </c>
      <c r="AB10" s="188"/>
      <c r="AC10" s="189"/>
      <c r="AD10" s="189"/>
      <c r="AE10" s="190">
        <v>45939.0</v>
      </c>
      <c r="AF10" s="191">
        <v>2.0</v>
      </c>
      <c r="AG10" s="191" t="s">
        <v>129</v>
      </c>
      <c r="AH10" s="192">
        <v>45919.0</v>
      </c>
      <c r="AI10" s="193">
        <v>1.0</v>
      </c>
      <c r="AJ10" s="193" t="s">
        <v>26</v>
      </c>
      <c r="AK10" s="194">
        <v>45961.0</v>
      </c>
      <c r="AL10" s="183">
        <v>1.0</v>
      </c>
      <c r="AM10" s="195" t="s">
        <v>25</v>
      </c>
      <c r="AN10" s="196">
        <v>45933.0</v>
      </c>
      <c r="AO10" s="197">
        <v>2.0</v>
      </c>
      <c r="AP10" s="173" t="s">
        <v>130</v>
      </c>
    </row>
    <row r="11">
      <c r="A11" s="174">
        <v>45939.0</v>
      </c>
      <c r="B11" s="175">
        <v>2.0</v>
      </c>
      <c r="C11" s="175" t="s">
        <v>129</v>
      </c>
      <c r="D11" s="198">
        <v>45954.0</v>
      </c>
      <c r="E11" s="177">
        <v>3.0</v>
      </c>
      <c r="F11" s="177" t="s">
        <v>96</v>
      </c>
      <c r="G11" s="199">
        <v>45933.0</v>
      </c>
      <c r="H11" s="179">
        <v>2.0</v>
      </c>
      <c r="I11" s="179" t="s">
        <v>26</v>
      </c>
      <c r="J11" s="200">
        <v>45968.0</v>
      </c>
      <c r="K11" s="191">
        <v>2.0</v>
      </c>
      <c r="L11" s="191" t="s">
        <v>26</v>
      </c>
      <c r="M11" s="201"/>
      <c r="N11" s="181"/>
      <c r="O11" s="181"/>
      <c r="P11" s="182">
        <v>45919.0</v>
      </c>
      <c r="Q11" s="183">
        <v>1.0</v>
      </c>
      <c r="R11" s="183" t="s">
        <v>129</v>
      </c>
      <c r="S11" s="184">
        <v>45954.0</v>
      </c>
      <c r="T11" s="185">
        <v>3.0</v>
      </c>
      <c r="U11" s="185" t="s">
        <v>96</v>
      </c>
      <c r="V11" s="174">
        <v>45954.0</v>
      </c>
      <c r="W11" s="175">
        <v>2.0</v>
      </c>
      <c r="X11" s="175" t="s">
        <v>26</v>
      </c>
      <c r="Y11" s="187">
        <v>45968.0</v>
      </c>
      <c r="Z11" s="177">
        <v>2.0</v>
      </c>
      <c r="AA11" s="177" t="s">
        <v>26</v>
      </c>
      <c r="AB11" s="202"/>
      <c r="AC11" s="203"/>
      <c r="AD11" s="203"/>
      <c r="AE11" s="204">
        <v>45954.0</v>
      </c>
      <c r="AF11" s="191">
        <v>2.0</v>
      </c>
      <c r="AG11" s="191" t="s">
        <v>26</v>
      </c>
      <c r="AH11" s="205">
        <v>45954.0</v>
      </c>
      <c r="AI11" s="193">
        <v>3.0</v>
      </c>
      <c r="AJ11" s="193" t="s">
        <v>96</v>
      </c>
      <c r="AK11" s="182">
        <v>45975.0</v>
      </c>
      <c r="AL11" s="183">
        <v>1.0</v>
      </c>
      <c r="AM11" s="183" t="s">
        <v>19</v>
      </c>
      <c r="AN11" s="206">
        <v>45947.0</v>
      </c>
      <c r="AO11" s="197">
        <v>2.0</v>
      </c>
      <c r="AP11" s="173" t="s">
        <v>26</v>
      </c>
    </row>
    <row r="12">
      <c r="A12" s="207"/>
      <c r="B12" s="208"/>
      <c r="C12" s="208"/>
      <c r="D12" s="187">
        <v>45961.0</v>
      </c>
      <c r="E12" s="177">
        <v>2.0</v>
      </c>
      <c r="F12" s="177" t="s">
        <v>26</v>
      </c>
      <c r="G12" s="199">
        <v>45939.0</v>
      </c>
      <c r="H12" s="179">
        <v>2.0</v>
      </c>
      <c r="I12" s="179" t="s">
        <v>26</v>
      </c>
      <c r="J12" s="209"/>
      <c r="K12" s="210"/>
      <c r="L12" s="210"/>
      <c r="M12" s="201"/>
      <c r="N12" s="181"/>
      <c r="O12" s="181"/>
      <c r="P12" s="194">
        <v>45961.0</v>
      </c>
      <c r="Q12" s="183">
        <v>2.0</v>
      </c>
      <c r="R12" s="183" t="s">
        <v>26</v>
      </c>
      <c r="S12" s="211">
        <v>45968.0</v>
      </c>
      <c r="T12" s="185">
        <v>2.0</v>
      </c>
      <c r="U12" s="185" t="s">
        <v>26</v>
      </c>
      <c r="V12" s="174">
        <v>45975.0</v>
      </c>
      <c r="W12" s="175">
        <v>2.0</v>
      </c>
      <c r="X12" s="175" t="s">
        <v>26</v>
      </c>
      <c r="Y12" s="212"/>
      <c r="Z12" s="213"/>
      <c r="AA12" s="213"/>
      <c r="AB12" s="214"/>
      <c r="AC12" s="203"/>
      <c r="AD12" s="203"/>
      <c r="AE12" s="190">
        <v>45975.0</v>
      </c>
      <c r="AF12" s="191">
        <v>1.0</v>
      </c>
      <c r="AG12" s="191" t="s">
        <v>38</v>
      </c>
      <c r="AH12" s="215">
        <v>45975.0</v>
      </c>
      <c r="AI12" s="193">
        <v>2.0</v>
      </c>
      <c r="AJ12" s="193" t="s">
        <v>26</v>
      </c>
      <c r="AK12" s="216"/>
      <c r="AL12" s="217"/>
      <c r="AM12" s="217"/>
      <c r="AN12" s="218">
        <v>45975.0</v>
      </c>
      <c r="AO12" s="197">
        <v>1.0</v>
      </c>
      <c r="AP12" s="173" t="s">
        <v>19</v>
      </c>
    </row>
    <row r="13">
      <c r="A13" s="219"/>
      <c r="B13" s="208"/>
      <c r="C13" s="208"/>
      <c r="D13" s="176">
        <v>45975.0</v>
      </c>
      <c r="E13" s="177">
        <v>2.0</v>
      </c>
      <c r="F13" s="177" t="s">
        <v>26</v>
      </c>
      <c r="G13" s="178">
        <v>45947.0</v>
      </c>
      <c r="H13" s="179">
        <v>2.0</v>
      </c>
      <c r="I13" s="179" t="s">
        <v>26</v>
      </c>
      <c r="J13" s="209"/>
      <c r="K13" s="210"/>
      <c r="L13" s="210"/>
      <c r="M13" s="180"/>
      <c r="N13" s="181"/>
      <c r="O13" s="181"/>
      <c r="P13" s="194">
        <v>45983.0</v>
      </c>
      <c r="Q13" s="183">
        <v>-1.0</v>
      </c>
      <c r="R13" s="183" t="s">
        <v>131</v>
      </c>
      <c r="S13" s="211">
        <v>45975.0</v>
      </c>
      <c r="T13" s="185">
        <v>2.0</v>
      </c>
      <c r="U13" s="185" t="s">
        <v>26</v>
      </c>
      <c r="V13" s="219"/>
      <c r="W13" s="208"/>
      <c r="X13" s="208"/>
      <c r="Y13" s="220"/>
      <c r="Z13" s="213"/>
      <c r="AA13" s="213"/>
      <c r="AB13" s="221"/>
      <c r="AC13" s="203"/>
      <c r="AD13" s="203"/>
      <c r="AE13" s="210"/>
      <c r="AF13" s="210"/>
      <c r="AG13" s="210"/>
      <c r="AH13" s="222"/>
      <c r="AI13" s="181"/>
      <c r="AJ13" s="181"/>
      <c r="AK13" s="216"/>
      <c r="AL13" s="217"/>
      <c r="AM13" s="217"/>
      <c r="AN13" s="223"/>
      <c r="AO13" s="224"/>
      <c r="AP13" s="225"/>
    </row>
    <row r="14">
      <c r="A14" s="219"/>
      <c r="B14" s="208"/>
      <c r="C14" s="208"/>
      <c r="D14" s="226"/>
      <c r="E14" s="213"/>
      <c r="F14" s="213"/>
      <c r="G14" s="227">
        <v>45961.0</v>
      </c>
      <c r="H14" s="179">
        <v>3.0</v>
      </c>
      <c r="I14" s="179" t="s">
        <v>96</v>
      </c>
      <c r="J14" s="209"/>
      <c r="K14" s="210"/>
      <c r="L14" s="210"/>
      <c r="M14" s="180"/>
      <c r="N14" s="181"/>
      <c r="O14" s="181"/>
      <c r="P14" s="228">
        <v>45996.0</v>
      </c>
      <c r="Q14" s="183">
        <v>2.0</v>
      </c>
      <c r="R14" s="183" t="s">
        <v>26</v>
      </c>
      <c r="S14" s="229"/>
      <c r="T14" s="230"/>
      <c r="U14" s="230"/>
      <c r="V14" s="219"/>
      <c r="W14" s="208"/>
      <c r="X14" s="208"/>
      <c r="Y14" s="226"/>
      <c r="Z14" s="213"/>
      <c r="AA14" s="213"/>
      <c r="AB14" s="221"/>
      <c r="AC14" s="203"/>
      <c r="AD14" s="203"/>
      <c r="AE14" s="210"/>
      <c r="AF14" s="210"/>
      <c r="AG14" s="210"/>
      <c r="AH14" s="222"/>
      <c r="AI14" s="181"/>
      <c r="AJ14" s="181"/>
      <c r="AK14" s="231"/>
      <c r="AL14" s="217"/>
      <c r="AM14" s="217"/>
      <c r="AN14" s="232"/>
      <c r="AO14" s="224"/>
      <c r="AP14" s="225"/>
    </row>
    <row r="15">
      <c r="A15" s="233"/>
      <c r="B15" s="208"/>
      <c r="C15" s="208"/>
      <c r="D15" s="212"/>
      <c r="E15" s="213"/>
      <c r="F15" s="213"/>
      <c r="G15" s="199">
        <v>45968.0</v>
      </c>
      <c r="H15" s="179">
        <v>2.0</v>
      </c>
      <c r="I15" s="179" t="s">
        <v>26</v>
      </c>
      <c r="J15" s="234"/>
      <c r="K15" s="210"/>
      <c r="L15" s="210"/>
      <c r="M15" s="180"/>
      <c r="N15" s="181"/>
      <c r="O15" s="181"/>
      <c r="P15" s="216"/>
      <c r="Q15" s="217"/>
      <c r="R15" s="217"/>
      <c r="S15" s="229"/>
      <c r="T15" s="230"/>
      <c r="U15" s="230"/>
      <c r="V15" s="208"/>
      <c r="W15" s="208"/>
      <c r="X15" s="208"/>
      <c r="Y15" s="212"/>
      <c r="Z15" s="213"/>
      <c r="AA15" s="213"/>
      <c r="AB15" s="221"/>
      <c r="AC15" s="203"/>
      <c r="AD15" s="203"/>
      <c r="AE15" s="210"/>
      <c r="AF15" s="210"/>
      <c r="AG15" s="210"/>
      <c r="AH15" s="180"/>
      <c r="AI15" s="181"/>
      <c r="AJ15" s="181"/>
      <c r="AK15" s="231"/>
      <c r="AL15" s="217"/>
      <c r="AM15" s="217"/>
      <c r="AN15" s="232"/>
      <c r="AO15" s="224"/>
      <c r="AP15" s="225"/>
    </row>
    <row r="16">
      <c r="A16" s="219"/>
      <c r="B16" s="208"/>
      <c r="C16" s="208"/>
      <c r="D16" s="212"/>
      <c r="E16" s="213"/>
      <c r="F16" s="213"/>
      <c r="G16" s="178">
        <v>45975.0</v>
      </c>
      <c r="H16" s="179">
        <v>2.0</v>
      </c>
      <c r="I16" s="179" t="s">
        <v>26</v>
      </c>
      <c r="J16" s="235"/>
      <c r="K16" s="210"/>
      <c r="L16" s="210"/>
      <c r="M16" s="180"/>
      <c r="N16" s="181"/>
      <c r="O16" s="181"/>
      <c r="P16" s="231"/>
      <c r="Q16" s="217"/>
      <c r="R16" s="217"/>
      <c r="S16" s="230"/>
      <c r="T16" s="230"/>
      <c r="U16" s="230"/>
      <c r="V16" s="208"/>
      <c r="W16" s="208"/>
      <c r="X16" s="208"/>
      <c r="Y16" s="212"/>
      <c r="Z16" s="213"/>
      <c r="AA16" s="213"/>
      <c r="AB16" s="221"/>
      <c r="AC16" s="203"/>
      <c r="AD16" s="203"/>
      <c r="AE16" s="210"/>
      <c r="AF16" s="210"/>
      <c r="AG16" s="210"/>
      <c r="AH16" s="180"/>
      <c r="AI16" s="181"/>
      <c r="AJ16" s="181"/>
      <c r="AK16" s="231"/>
      <c r="AL16" s="217"/>
      <c r="AM16" s="217"/>
      <c r="AN16" s="232"/>
      <c r="AO16" s="224"/>
      <c r="AP16" s="225"/>
    </row>
    <row r="17">
      <c r="A17" s="219"/>
      <c r="B17" s="208"/>
      <c r="C17" s="208"/>
      <c r="D17" s="212"/>
      <c r="E17" s="213"/>
      <c r="F17" s="213"/>
      <c r="G17" s="178">
        <v>45982.0</v>
      </c>
      <c r="H17" s="179">
        <v>2.0</v>
      </c>
      <c r="I17" s="179" t="s">
        <v>26</v>
      </c>
      <c r="J17" s="235"/>
      <c r="K17" s="210"/>
      <c r="L17" s="210"/>
      <c r="M17" s="181"/>
      <c r="N17" s="181"/>
      <c r="O17" s="181"/>
      <c r="P17" s="231"/>
      <c r="Q17" s="217"/>
      <c r="R17" s="217"/>
      <c r="S17" s="230"/>
      <c r="T17" s="230"/>
      <c r="U17" s="230"/>
      <c r="V17" s="208"/>
      <c r="W17" s="208"/>
      <c r="X17" s="208"/>
      <c r="Y17" s="212"/>
      <c r="Z17" s="213"/>
      <c r="AA17" s="213"/>
      <c r="AB17" s="203"/>
      <c r="AC17" s="203"/>
      <c r="AD17" s="203"/>
      <c r="AE17" s="210"/>
      <c r="AF17" s="210"/>
      <c r="AG17" s="210"/>
      <c r="AH17" s="180"/>
      <c r="AI17" s="181"/>
      <c r="AJ17" s="181"/>
      <c r="AK17" s="217"/>
      <c r="AL17" s="217"/>
      <c r="AM17" s="217"/>
      <c r="AN17" s="225"/>
      <c r="AO17" s="224"/>
      <c r="AP17" s="225"/>
    </row>
    <row r="18">
      <c r="A18" s="208"/>
      <c r="B18" s="208"/>
      <c r="C18" s="208"/>
      <c r="D18" s="212"/>
      <c r="E18" s="213"/>
      <c r="F18" s="213"/>
      <c r="G18" s="203"/>
      <c r="H18" s="203"/>
      <c r="I18" s="203"/>
      <c r="J18" s="235"/>
      <c r="K18" s="210"/>
      <c r="L18" s="210"/>
      <c r="M18" s="181"/>
      <c r="N18" s="181"/>
      <c r="O18" s="181"/>
      <c r="P18" s="231"/>
      <c r="Q18" s="217"/>
      <c r="R18" s="217"/>
      <c r="S18" s="230"/>
      <c r="T18" s="230"/>
      <c r="U18" s="230"/>
      <c r="V18" s="208"/>
      <c r="W18" s="208"/>
      <c r="X18" s="208"/>
      <c r="Y18" s="212"/>
      <c r="Z18" s="213"/>
      <c r="AA18" s="213"/>
      <c r="AB18" s="203"/>
      <c r="AC18" s="203"/>
      <c r="AD18" s="203"/>
      <c r="AE18" s="210"/>
      <c r="AF18" s="210"/>
      <c r="AG18" s="210"/>
      <c r="AH18" s="181"/>
      <c r="AI18" s="181"/>
      <c r="AJ18" s="181"/>
      <c r="AK18" s="217"/>
      <c r="AL18" s="217"/>
      <c r="AM18" s="217"/>
      <c r="AN18" s="225"/>
      <c r="AO18" s="224"/>
      <c r="AP18" s="225"/>
    </row>
    <row r="19">
      <c r="A19" s="208"/>
      <c r="B19" s="208"/>
      <c r="C19" s="208"/>
      <c r="D19" s="213"/>
      <c r="E19" s="213"/>
      <c r="F19" s="213"/>
      <c r="G19" s="203"/>
      <c r="H19" s="203"/>
      <c r="I19" s="203"/>
      <c r="J19" s="235"/>
      <c r="K19" s="210"/>
      <c r="L19" s="210"/>
      <c r="M19" s="181"/>
      <c r="N19" s="181"/>
      <c r="O19" s="181"/>
      <c r="P19" s="231"/>
      <c r="Q19" s="217"/>
      <c r="R19" s="217"/>
      <c r="S19" s="230"/>
      <c r="T19" s="230"/>
      <c r="U19" s="230"/>
      <c r="V19" s="208"/>
      <c r="W19" s="208"/>
      <c r="X19" s="208"/>
      <c r="Y19" s="212"/>
      <c r="Z19" s="213"/>
      <c r="AA19" s="213"/>
      <c r="AB19" s="203"/>
      <c r="AC19" s="203"/>
      <c r="AD19" s="203"/>
      <c r="AE19" s="210"/>
      <c r="AF19" s="210"/>
      <c r="AG19" s="210"/>
      <c r="AH19" s="181"/>
      <c r="AI19" s="181"/>
      <c r="AJ19" s="181"/>
      <c r="AK19" s="217"/>
      <c r="AL19" s="217"/>
      <c r="AM19" s="217"/>
      <c r="AN19" s="225"/>
      <c r="AO19" s="224"/>
      <c r="AP19" s="225"/>
    </row>
    <row r="20">
      <c r="A20" s="208"/>
      <c r="B20" s="208"/>
      <c r="C20" s="208"/>
      <c r="D20" s="213"/>
      <c r="E20" s="213"/>
      <c r="F20" s="213"/>
      <c r="G20" s="203"/>
      <c r="H20" s="203"/>
      <c r="I20" s="203"/>
      <c r="J20" s="235"/>
      <c r="K20" s="210"/>
      <c r="L20" s="210"/>
      <c r="M20" s="181"/>
      <c r="N20" s="181"/>
      <c r="O20" s="181"/>
      <c r="P20" s="231"/>
      <c r="Q20" s="217"/>
      <c r="R20" s="217"/>
      <c r="S20" s="230"/>
      <c r="T20" s="230"/>
      <c r="U20" s="230"/>
      <c r="V20" s="208"/>
      <c r="W20" s="208"/>
      <c r="X20" s="208"/>
      <c r="Y20" s="213"/>
      <c r="Z20" s="213"/>
      <c r="AA20" s="213"/>
      <c r="AB20" s="203"/>
      <c r="AC20" s="203"/>
      <c r="AD20" s="203"/>
      <c r="AE20" s="210"/>
      <c r="AF20" s="210"/>
      <c r="AG20" s="210"/>
      <c r="AH20" s="181"/>
      <c r="AI20" s="181"/>
      <c r="AJ20" s="181"/>
      <c r="AK20" s="217"/>
      <c r="AL20" s="217"/>
      <c r="AM20" s="217"/>
      <c r="AN20" s="225"/>
      <c r="AO20" s="224"/>
      <c r="AP20" s="225"/>
    </row>
    <row r="21">
      <c r="A21" s="208"/>
      <c r="B21" s="208"/>
      <c r="C21" s="208"/>
      <c r="D21" s="213"/>
      <c r="E21" s="213"/>
      <c r="F21" s="213"/>
      <c r="G21" s="203"/>
      <c r="H21" s="203"/>
      <c r="I21" s="203"/>
      <c r="J21" s="235"/>
      <c r="K21" s="210"/>
      <c r="L21" s="210"/>
      <c r="M21" s="181"/>
      <c r="N21" s="181"/>
      <c r="O21" s="181"/>
      <c r="P21" s="231"/>
      <c r="Q21" s="217"/>
      <c r="R21" s="217"/>
      <c r="S21" s="230"/>
      <c r="T21" s="230"/>
      <c r="U21" s="230"/>
      <c r="V21" s="208"/>
      <c r="W21" s="208"/>
      <c r="X21" s="208"/>
      <c r="Y21" s="213"/>
      <c r="Z21" s="213"/>
      <c r="AA21" s="213"/>
      <c r="AB21" s="203"/>
      <c r="AC21" s="203"/>
      <c r="AD21" s="203"/>
      <c r="AE21" s="210"/>
      <c r="AF21" s="210"/>
      <c r="AG21" s="210"/>
      <c r="AH21" s="181"/>
      <c r="AI21" s="181"/>
      <c r="AJ21" s="181"/>
      <c r="AK21" s="217"/>
      <c r="AL21" s="217"/>
      <c r="AM21" s="217"/>
      <c r="AN21" s="225"/>
      <c r="AO21" s="224"/>
      <c r="AP21" s="225"/>
    </row>
    <row r="22">
      <c r="A22" s="208"/>
      <c r="B22" s="208"/>
      <c r="C22" s="208"/>
      <c r="D22" s="213"/>
      <c r="E22" s="213"/>
      <c r="F22" s="213"/>
      <c r="G22" s="203"/>
      <c r="H22" s="203"/>
      <c r="I22" s="203"/>
      <c r="J22" s="210"/>
      <c r="K22" s="210"/>
      <c r="L22" s="210"/>
      <c r="M22" s="181"/>
      <c r="N22" s="181"/>
      <c r="O22" s="181"/>
      <c r="P22" s="231"/>
      <c r="Q22" s="217"/>
      <c r="R22" s="217"/>
      <c r="S22" s="230"/>
      <c r="T22" s="230"/>
      <c r="U22" s="230"/>
      <c r="V22" s="208"/>
      <c r="W22" s="208"/>
      <c r="X22" s="208"/>
      <c r="Y22" s="213"/>
      <c r="Z22" s="213"/>
      <c r="AA22" s="213"/>
      <c r="AB22" s="203"/>
      <c r="AC22" s="203"/>
      <c r="AD22" s="203"/>
      <c r="AE22" s="210"/>
      <c r="AF22" s="210"/>
      <c r="AG22" s="210"/>
      <c r="AH22" s="181"/>
      <c r="AI22" s="181"/>
      <c r="AJ22" s="181"/>
      <c r="AK22" s="217"/>
      <c r="AL22" s="217"/>
      <c r="AM22" s="217"/>
      <c r="AN22" s="225"/>
      <c r="AO22" s="224"/>
      <c r="AP22" s="225"/>
    </row>
    <row r="23">
      <c r="A23" s="208"/>
      <c r="B23" s="208"/>
      <c r="C23" s="208"/>
      <c r="D23" s="213"/>
      <c r="E23" s="213"/>
      <c r="F23" s="213"/>
      <c r="G23" s="203"/>
      <c r="H23" s="203"/>
      <c r="I23" s="203"/>
      <c r="J23" s="210"/>
      <c r="K23" s="210"/>
      <c r="L23" s="210"/>
      <c r="M23" s="181"/>
      <c r="N23" s="181"/>
      <c r="O23" s="181"/>
      <c r="P23" s="231"/>
      <c r="Q23" s="217"/>
      <c r="R23" s="217"/>
      <c r="S23" s="230"/>
      <c r="T23" s="230"/>
      <c r="U23" s="230"/>
      <c r="V23" s="208"/>
      <c r="W23" s="208"/>
      <c r="X23" s="208"/>
      <c r="Y23" s="213"/>
      <c r="Z23" s="213"/>
      <c r="AA23" s="213"/>
      <c r="AB23" s="203"/>
      <c r="AC23" s="203"/>
      <c r="AD23" s="203"/>
      <c r="AE23" s="210"/>
      <c r="AF23" s="210"/>
      <c r="AG23" s="210"/>
      <c r="AH23" s="181"/>
      <c r="AI23" s="181"/>
      <c r="AJ23" s="181"/>
      <c r="AK23" s="217"/>
      <c r="AL23" s="217"/>
      <c r="AM23" s="217"/>
      <c r="AN23" s="225"/>
      <c r="AO23" s="224"/>
      <c r="AP23" s="225"/>
    </row>
    <row r="24">
      <c r="A24" s="208"/>
      <c r="B24" s="208"/>
      <c r="C24" s="208"/>
      <c r="D24" s="213"/>
      <c r="E24" s="213"/>
      <c r="F24" s="213"/>
      <c r="G24" s="203"/>
      <c r="H24" s="203"/>
      <c r="I24" s="203"/>
      <c r="J24" s="210"/>
      <c r="K24" s="210"/>
      <c r="L24" s="210"/>
      <c r="M24" s="181"/>
      <c r="N24" s="181"/>
      <c r="O24" s="181"/>
      <c r="P24" s="217"/>
      <c r="Q24" s="217"/>
      <c r="R24" s="217"/>
      <c r="S24" s="230"/>
      <c r="T24" s="230"/>
      <c r="U24" s="230"/>
      <c r="V24" s="208"/>
      <c r="W24" s="208"/>
      <c r="X24" s="208"/>
      <c r="Y24" s="213"/>
      <c r="Z24" s="213"/>
      <c r="AA24" s="213"/>
      <c r="AB24" s="203"/>
      <c r="AC24" s="203"/>
      <c r="AD24" s="203"/>
      <c r="AE24" s="210"/>
      <c r="AF24" s="210"/>
      <c r="AG24" s="210"/>
      <c r="AH24" s="181"/>
      <c r="AI24" s="181"/>
      <c r="AJ24" s="181"/>
      <c r="AK24" s="217"/>
      <c r="AL24" s="217"/>
      <c r="AM24" s="217"/>
      <c r="AN24" s="225"/>
      <c r="AO24" s="224"/>
      <c r="AP24" s="225"/>
    </row>
    <row r="25">
      <c r="A25" s="208"/>
      <c r="B25" s="208"/>
      <c r="C25" s="208"/>
      <c r="D25" s="213"/>
      <c r="E25" s="213"/>
      <c r="F25" s="213"/>
      <c r="G25" s="203"/>
      <c r="H25" s="203"/>
      <c r="I25" s="203"/>
      <c r="J25" s="210"/>
      <c r="K25" s="210"/>
      <c r="L25" s="210"/>
      <c r="M25" s="181"/>
      <c r="N25" s="181"/>
      <c r="O25" s="181"/>
      <c r="P25" s="217"/>
      <c r="Q25" s="217"/>
      <c r="R25" s="217"/>
      <c r="S25" s="230"/>
      <c r="T25" s="230"/>
      <c r="U25" s="230"/>
      <c r="V25" s="208"/>
      <c r="W25" s="208"/>
      <c r="X25" s="208"/>
      <c r="Y25" s="213"/>
      <c r="Z25" s="213"/>
      <c r="AA25" s="213"/>
      <c r="AB25" s="203"/>
      <c r="AC25" s="203"/>
      <c r="AD25" s="203"/>
      <c r="AE25" s="210"/>
      <c r="AF25" s="210"/>
      <c r="AG25" s="210"/>
      <c r="AH25" s="181"/>
      <c r="AI25" s="181"/>
      <c r="AJ25" s="181"/>
      <c r="AK25" s="217"/>
      <c r="AL25" s="217"/>
      <c r="AM25" s="217"/>
      <c r="AN25" s="225"/>
      <c r="AO25" s="224"/>
      <c r="AP25" s="225"/>
    </row>
    <row r="26">
      <c r="A26" s="208"/>
      <c r="B26" s="208"/>
      <c r="C26" s="208"/>
      <c r="D26" s="213"/>
      <c r="E26" s="213"/>
      <c r="F26" s="213"/>
      <c r="G26" s="203"/>
      <c r="H26" s="203"/>
      <c r="I26" s="203"/>
      <c r="J26" s="210"/>
      <c r="K26" s="210"/>
      <c r="L26" s="210"/>
      <c r="M26" s="181"/>
      <c r="N26" s="181"/>
      <c r="O26" s="181"/>
      <c r="P26" s="217"/>
      <c r="Q26" s="217"/>
      <c r="R26" s="217"/>
      <c r="S26" s="230"/>
      <c r="T26" s="230"/>
      <c r="U26" s="230"/>
      <c r="V26" s="208"/>
      <c r="W26" s="208"/>
      <c r="X26" s="208"/>
      <c r="Y26" s="213"/>
      <c r="Z26" s="213"/>
      <c r="AA26" s="213"/>
      <c r="AB26" s="203"/>
      <c r="AC26" s="203"/>
      <c r="AD26" s="203"/>
      <c r="AE26" s="210"/>
      <c r="AF26" s="210"/>
      <c r="AG26" s="210"/>
      <c r="AH26" s="181"/>
      <c r="AI26" s="181"/>
      <c r="AJ26" s="181"/>
      <c r="AK26" s="217"/>
      <c r="AL26" s="217"/>
      <c r="AM26" s="217"/>
      <c r="AN26" s="225"/>
      <c r="AO26" s="224"/>
      <c r="AP26" s="225"/>
    </row>
    <row r="27">
      <c r="A27" s="208"/>
      <c r="B27" s="208"/>
      <c r="C27" s="208"/>
      <c r="D27" s="213"/>
      <c r="E27" s="213"/>
      <c r="F27" s="213"/>
      <c r="G27" s="203"/>
      <c r="H27" s="203"/>
      <c r="I27" s="203"/>
      <c r="J27" s="210"/>
      <c r="K27" s="210"/>
      <c r="L27" s="210"/>
      <c r="M27" s="181"/>
      <c r="N27" s="181"/>
      <c r="O27" s="181"/>
      <c r="P27" s="217"/>
      <c r="Q27" s="217"/>
      <c r="R27" s="217"/>
      <c r="S27" s="230"/>
      <c r="T27" s="230"/>
      <c r="U27" s="230"/>
      <c r="V27" s="208"/>
      <c r="W27" s="208"/>
      <c r="X27" s="208"/>
      <c r="Y27" s="213"/>
      <c r="Z27" s="213"/>
      <c r="AA27" s="213"/>
      <c r="AB27" s="203"/>
      <c r="AC27" s="203"/>
      <c r="AD27" s="203"/>
      <c r="AE27" s="210"/>
      <c r="AF27" s="210"/>
      <c r="AG27" s="210"/>
      <c r="AH27" s="181"/>
      <c r="AI27" s="181"/>
      <c r="AJ27" s="181"/>
      <c r="AK27" s="217"/>
      <c r="AL27" s="217"/>
      <c r="AM27" s="217"/>
      <c r="AN27" s="225"/>
      <c r="AO27" s="224"/>
      <c r="AP27" s="225"/>
    </row>
    <row r="28">
      <c r="A28" s="208"/>
      <c r="B28" s="208"/>
      <c r="C28" s="208"/>
      <c r="D28" s="213"/>
      <c r="E28" s="213"/>
      <c r="F28" s="213"/>
      <c r="G28" s="203"/>
      <c r="H28" s="203"/>
      <c r="I28" s="203"/>
      <c r="J28" s="210"/>
      <c r="K28" s="210"/>
      <c r="L28" s="210"/>
      <c r="M28" s="181"/>
      <c r="N28" s="181"/>
      <c r="O28" s="181"/>
      <c r="P28" s="217"/>
      <c r="Q28" s="217"/>
      <c r="R28" s="217"/>
      <c r="S28" s="230"/>
      <c r="T28" s="230"/>
      <c r="U28" s="230"/>
      <c r="V28" s="208"/>
      <c r="W28" s="208"/>
      <c r="X28" s="208"/>
      <c r="Y28" s="213"/>
      <c r="Z28" s="213"/>
      <c r="AA28" s="213"/>
      <c r="AB28" s="203"/>
      <c r="AC28" s="203"/>
      <c r="AD28" s="203"/>
      <c r="AE28" s="210"/>
      <c r="AF28" s="210"/>
      <c r="AG28" s="210"/>
      <c r="AH28" s="181"/>
      <c r="AI28" s="181"/>
      <c r="AJ28" s="181"/>
      <c r="AK28" s="217"/>
      <c r="AL28" s="217"/>
      <c r="AM28" s="217"/>
      <c r="AN28" s="225"/>
      <c r="AO28" s="224"/>
      <c r="AP28" s="225"/>
    </row>
    <row r="29">
      <c r="A29" s="208"/>
      <c r="B29" s="208"/>
      <c r="C29" s="208"/>
      <c r="D29" s="213"/>
      <c r="E29" s="213"/>
      <c r="F29" s="213"/>
      <c r="G29" s="203"/>
      <c r="H29" s="203"/>
      <c r="I29" s="203"/>
      <c r="J29" s="210"/>
      <c r="K29" s="210"/>
      <c r="L29" s="210"/>
      <c r="M29" s="181"/>
      <c r="N29" s="181"/>
      <c r="O29" s="181"/>
      <c r="P29" s="217"/>
      <c r="Q29" s="217"/>
      <c r="R29" s="217"/>
      <c r="S29" s="230"/>
      <c r="T29" s="230"/>
      <c r="U29" s="230"/>
      <c r="V29" s="208"/>
      <c r="W29" s="208"/>
      <c r="X29" s="208"/>
      <c r="Y29" s="213"/>
      <c r="Z29" s="213"/>
      <c r="AA29" s="213"/>
      <c r="AB29" s="203"/>
      <c r="AC29" s="203"/>
      <c r="AD29" s="203"/>
      <c r="AE29" s="210"/>
      <c r="AF29" s="210"/>
      <c r="AG29" s="210"/>
      <c r="AH29" s="181"/>
      <c r="AI29" s="181"/>
      <c r="AJ29" s="181"/>
      <c r="AK29" s="217"/>
      <c r="AL29" s="217"/>
      <c r="AM29" s="217"/>
      <c r="AN29" s="225"/>
      <c r="AO29" s="224"/>
      <c r="AP29" s="225"/>
    </row>
    <row r="30">
      <c r="A30" s="208"/>
      <c r="B30" s="208"/>
      <c r="C30" s="208"/>
      <c r="D30" s="213"/>
      <c r="E30" s="213"/>
      <c r="F30" s="213"/>
      <c r="G30" s="203"/>
      <c r="H30" s="203"/>
      <c r="I30" s="203"/>
      <c r="J30" s="210"/>
      <c r="K30" s="210"/>
      <c r="L30" s="210"/>
      <c r="M30" s="181"/>
      <c r="N30" s="181"/>
      <c r="O30" s="181"/>
      <c r="P30" s="217"/>
      <c r="Q30" s="217"/>
      <c r="R30" s="217"/>
      <c r="S30" s="230"/>
      <c r="T30" s="230"/>
      <c r="U30" s="230"/>
      <c r="V30" s="208"/>
      <c r="W30" s="208"/>
      <c r="X30" s="208"/>
      <c r="Y30" s="213"/>
      <c r="Z30" s="213"/>
      <c r="AA30" s="213"/>
      <c r="AB30" s="203"/>
      <c r="AC30" s="203"/>
      <c r="AD30" s="203"/>
      <c r="AE30" s="210"/>
      <c r="AF30" s="210"/>
      <c r="AG30" s="210"/>
      <c r="AH30" s="181"/>
      <c r="AI30" s="181"/>
      <c r="AJ30" s="181"/>
      <c r="AK30" s="217"/>
      <c r="AL30" s="217"/>
      <c r="AM30" s="217"/>
      <c r="AN30" s="225"/>
      <c r="AO30" s="224"/>
      <c r="AP30" s="225"/>
    </row>
    <row r="31">
      <c r="A31" s="208"/>
      <c r="B31" s="208"/>
      <c r="C31" s="208"/>
      <c r="D31" s="213"/>
      <c r="E31" s="213"/>
      <c r="F31" s="213"/>
      <c r="G31" s="203"/>
      <c r="H31" s="203"/>
      <c r="I31" s="203"/>
      <c r="J31" s="210"/>
      <c r="K31" s="210"/>
      <c r="L31" s="210"/>
      <c r="M31" s="181"/>
      <c r="N31" s="181"/>
      <c r="O31" s="181"/>
      <c r="P31" s="217"/>
      <c r="Q31" s="217"/>
      <c r="R31" s="217"/>
      <c r="S31" s="230"/>
      <c r="T31" s="230"/>
      <c r="U31" s="230"/>
      <c r="V31" s="208"/>
      <c r="W31" s="208"/>
      <c r="X31" s="208"/>
      <c r="Y31" s="213"/>
      <c r="Z31" s="213"/>
      <c r="AA31" s="213"/>
      <c r="AB31" s="203"/>
      <c r="AC31" s="203"/>
      <c r="AD31" s="203"/>
      <c r="AE31" s="210"/>
      <c r="AF31" s="210"/>
      <c r="AG31" s="210"/>
      <c r="AH31" s="181"/>
      <c r="AI31" s="181"/>
      <c r="AJ31" s="181"/>
      <c r="AK31" s="217"/>
      <c r="AL31" s="217"/>
      <c r="AM31" s="217"/>
      <c r="AN31" s="225"/>
      <c r="AO31" s="224"/>
      <c r="AP31" s="225"/>
    </row>
    <row r="32">
      <c r="A32" s="208"/>
      <c r="B32" s="208"/>
      <c r="C32" s="208"/>
      <c r="D32" s="213"/>
      <c r="E32" s="213"/>
      <c r="F32" s="213"/>
      <c r="G32" s="203"/>
      <c r="H32" s="203"/>
      <c r="I32" s="203"/>
      <c r="J32" s="210"/>
      <c r="K32" s="210"/>
      <c r="L32" s="210"/>
      <c r="M32" s="181"/>
      <c r="N32" s="181"/>
      <c r="O32" s="181"/>
      <c r="P32" s="217"/>
      <c r="Q32" s="217"/>
      <c r="R32" s="217"/>
      <c r="S32" s="230"/>
      <c r="T32" s="230"/>
      <c r="U32" s="230"/>
      <c r="V32" s="208"/>
      <c r="W32" s="208"/>
      <c r="X32" s="208"/>
      <c r="Y32" s="213"/>
      <c r="Z32" s="213"/>
      <c r="AA32" s="213"/>
      <c r="AB32" s="203"/>
      <c r="AC32" s="203"/>
      <c r="AD32" s="203"/>
      <c r="AE32" s="210"/>
      <c r="AF32" s="210"/>
      <c r="AG32" s="210"/>
      <c r="AH32" s="181"/>
      <c r="AI32" s="181"/>
      <c r="AJ32" s="181"/>
      <c r="AK32" s="217"/>
      <c r="AL32" s="217"/>
      <c r="AM32" s="217"/>
      <c r="AN32" s="225"/>
      <c r="AO32" s="224"/>
      <c r="AP32" s="225"/>
    </row>
    <row r="33">
      <c r="A33" s="208"/>
      <c r="B33" s="208"/>
      <c r="C33" s="208"/>
      <c r="D33" s="213"/>
      <c r="E33" s="213"/>
      <c r="F33" s="213"/>
      <c r="G33" s="203"/>
      <c r="H33" s="203"/>
      <c r="I33" s="203"/>
      <c r="J33" s="210"/>
      <c r="K33" s="210"/>
      <c r="L33" s="210"/>
      <c r="M33" s="181"/>
      <c r="N33" s="181"/>
      <c r="O33" s="181"/>
      <c r="P33" s="217"/>
      <c r="Q33" s="217"/>
      <c r="R33" s="217"/>
      <c r="S33" s="230"/>
      <c r="T33" s="230"/>
      <c r="U33" s="230"/>
      <c r="V33" s="208"/>
      <c r="W33" s="208"/>
      <c r="X33" s="208"/>
      <c r="Y33" s="213"/>
      <c r="Z33" s="213"/>
      <c r="AA33" s="213"/>
      <c r="AB33" s="203"/>
      <c r="AC33" s="203"/>
      <c r="AD33" s="203"/>
      <c r="AE33" s="210"/>
      <c r="AF33" s="210"/>
      <c r="AG33" s="210"/>
      <c r="AH33" s="181"/>
      <c r="AI33" s="181"/>
      <c r="AJ33" s="181"/>
      <c r="AK33" s="217"/>
      <c r="AL33" s="217"/>
      <c r="AM33" s="217"/>
      <c r="AN33" s="225"/>
      <c r="AO33" s="224"/>
      <c r="AP33" s="225"/>
    </row>
    <row r="34">
      <c r="A34" s="208"/>
      <c r="B34" s="208"/>
      <c r="C34" s="208"/>
      <c r="D34" s="213"/>
      <c r="E34" s="213"/>
      <c r="F34" s="213"/>
      <c r="G34" s="203"/>
      <c r="H34" s="203"/>
      <c r="I34" s="203"/>
      <c r="J34" s="210"/>
      <c r="K34" s="210"/>
      <c r="L34" s="210"/>
      <c r="M34" s="181"/>
      <c r="N34" s="181"/>
      <c r="O34" s="181"/>
      <c r="P34" s="217"/>
      <c r="Q34" s="217"/>
      <c r="R34" s="217"/>
      <c r="S34" s="230"/>
      <c r="T34" s="230"/>
      <c r="U34" s="230"/>
      <c r="V34" s="208"/>
      <c r="W34" s="208"/>
      <c r="X34" s="208"/>
      <c r="Y34" s="213"/>
      <c r="Z34" s="213"/>
      <c r="AA34" s="213"/>
      <c r="AB34" s="203"/>
      <c r="AC34" s="203"/>
      <c r="AD34" s="203"/>
      <c r="AE34" s="210"/>
      <c r="AF34" s="210"/>
      <c r="AG34" s="210"/>
      <c r="AH34" s="181"/>
      <c r="AI34" s="181"/>
      <c r="AJ34" s="181"/>
      <c r="AK34" s="217"/>
      <c r="AL34" s="217"/>
      <c r="AM34" s="217"/>
      <c r="AN34" s="225"/>
      <c r="AO34" s="224"/>
      <c r="AP34" s="225"/>
    </row>
    <row r="35">
      <c r="A35" s="208"/>
      <c r="B35" s="208"/>
      <c r="C35" s="208"/>
      <c r="D35" s="213"/>
      <c r="E35" s="213"/>
      <c r="F35" s="213"/>
      <c r="G35" s="203"/>
      <c r="H35" s="203"/>
      <c r="I35" s="203"/>
      <c r="J35" s="210"/>
      <c r="K35" s="210"/>
      <c r="L35" s="210"/>
      <c r="M35" s="181"/>
      <c r="N35" s="181"/>
      <c r="O35" s="181"/>
      <c r="P35" s="217"/>
      <c r="Q35" s="217"/>
      <c r="R35" s="217"/>
      <c r="S35" s="230"/>
      <c r="T35" s="230"/>
      <c r="U35" s="230"/>
      <c r="V35" s="208"/>
      <c r="W35" s="208"/>
      <c r="X35" s="208"/>
      <c r="Y35" s="213"/>
      <c r="Z35" s="213"/>
      <c r="AA35" s="213"/>
      <c r="AB35" s="203"/>
      <c r="AC35" s="203"/>
      <c r="AD35" s="203"/>
      <c r="AE35" s="210"/>
      <c r="AF35" s="210"/>
      <c r="AG35" s="210"/>
      <c r="AH35" s="181"/>
      <c r="AI35" s="181"/>
      <c r="AJ35" s="181"/>
      <c r="AK35" s="217"/>
      <c r="AL35" s="217"/>
      <c r="AM35" s="217"/>
      <c r="AN35" s="225"/>
      <c r="AO35" s="224"/>
      <c r="AP35" s="225"/>
    </row>
    <row r="36">
      <c r="A36" s="208"/>
      <c r="B36" s="208"/>
      <c r="C36" s="208"/>
      <c r="D36" s="213"/>
      <c r="E36" s="213"/>
      <c r="F36" s="213"/>
      <c r="G36" s="203"/>
      <c r="H36" s="203"/>
      <c r="I36" s="203"/>
      <c r="J36" s="210"/>
      <c r="K36" s="210"/>
      <c r="L36" s="210"/>
      <c r="M36" s="181"/>
      <c r="N36" s="181"/>
      <c r="O36" s="181"/>
      <c r="P36" s="217"/>
      <c r="Q36" s="217"/>
      <c r="R36" s="217"/>
      <c r="S36" s="230"/>
      <c r="T36" s="230"/>
      <c r="U36" s="230"/>
      <c r="V36" s="208"/>
      <c r="W36" s="208"/>
      <c r="X36" s="208"/>
      <c r="Y36" s="213"/>
      <c r="Z36" s="213"/>
      <c r="AA36" s="213"/>
      <c r="AB36" s="203"/>
      <c r="AC36" s="203"/>
      <c r="AD36" s="203"/>
      <c r="AE36" s="210"/>
      <c r="AF36" s="210"/>
      <c r="AG36" s="210"/>
      <c r="AH36" s="181"/>
      <c r="AI36" s="181"/>
      <c r="AJ36" s="181"/>
      <c r="AK36" s="217"/>
      <c r="AL36" s="217"/>
      <c r="AM36" s="217"/>
      <c r="AN36" s="225"/>
      <c r="AO36" s="224"/>
      <c r="AP36" s="225"/>
    </row>
    <row r="37">
      <c r="A37" s="208"/>
      <c r="B37" s="208"/>
      <c r="C37" s="208"/>
      <c r="D37" s="213"/>
      <c r="E37" s="213"/>
      <c r="F37" s="213"/>
      <c r="G37" s="203"/>
      <c r="H37" s="203"/>
      <c r="I37" s="203"/>
      <c r="J37" s="210"/>
      <c r="K37" s="210"/>
      <c r="L37" s="210"/>
      <c r="M37" s="181"/>
      <c r="N37" s="181"/>
      <c r="O37" s="181"/>
      <c r="P37" s="217"/>
      <c r="Q37" s="217"/>
      <c r="R37" s="217"/>
      <c r="S37" s="230"/>
      <c r="T37" s="230"/>
      <c r="U37" s="230"/>
      <c r="V37" s="208"/>
      <c r="W37" s="208"/>
      <c r="X37" s="208"/>
      <c r="Y37" s="213"/>
      <c r="Z37" s="213"/>
      <c r="AA37" s="213"/>
      <c r="AB37" s="203"/>
      <c r="AC37" s="203"/>
      <c r="AD37" s="203"/>
      <c r="AE37" s="210"/>
      <c r="AF37" s="210"/>
      <c r="AG37" s="210"/>
      <c r="AH37" s="181"/>
      <c r="AI37" s="181"/>
      <c r="AJ37" s="181"/>
      <c r="AK37" s="217"/>
      <c r="AL37" s="217"/>
      <c r="AM37" s="217"/>
      <c r="AN37" s="225"/>
      <c r="AO37" s="224"/>
      <c r="AP37" s="225"/>
    </row>
    <row r="38">
      <c r="A38" s="208"/>
      <c r="B38" s="208"/>
      <c r="C38" s="208"/>
      <c r="D38" s="213"/>
      <c r="E38" s="213"/>
      <c r="F38" s="213"/>
      <c r="G38" s="203"/>
      <c r="H38" s="203"/>
      <c r="I38" s="203"/>
      <c r="J38" s="210"/>
      <c r="K38" s="210"/>
      <c r="L38" s="210"/>
      <c r="M38" s="181"/>
      <c r="N38" s="181"/>
      <c r="O38" s="181"/>
      <c r="P38" s="217"/>
      <c r="Q38" s="217"/>
      <c r="R38" s="217"/>
      <c r="S38" s="230"/>
      <c r="T38" s="230"/>
      <c r="U38" s="230"/>
      <c r="V38" s="208"/>
      <c r="W38" s="208"/>
      <c r="X38" s="208"/>
      <c r="Y38" s="213"/>
      <c r="Z38" s="213"/>
      <c r="AA38" s="213"/>
      <c r="AB38" s="203"/>
      <c r="AC38" s="203"/>
      <c r="AD38" s="203"/>
      <c r="AE38" s="210"/>
      <c r="AF38" s="210"/>
      <c r="AG38" s="210"/>
      <c r="AH38" s="181"/>
      <c r="AI38" s="181"/>
      <c r="AJ38" s="181"/>
      <c r="AK38" s="217"/>
      <c r="AL38" s="217"/>
      <c r="AM38" s="217"/>
      <c r="AN38" s="225"/>
      <c r="AO38" s="224"/>
      <c r="AP38" s="225"/>
    </row>
    <row r="39">
      <c r="A39" s="208"/>
      <c r="B39" s="208"/>
      <c r="C39" s="208"/>
      <c r="D39" s="213"/>
      <c r="E39" s="213"/>
      <c r="F39" s="213"/>
      <c r="G39" s="203"/>
      <c r="H39" s="203"/>
      <c r="I39" s="203"/>
      <c r="J39" s="210"/>
      <c r="K39" s="210"/>
      <c r="L39" s="210"/>
      <c r="M39" s="181"/>
      <c r="N39" s="181"/>
      <c r="O39" s="181"/>
      <c r="P39" s="217"/>
      <c r="Q39" s="217"/>
      <c r="R39" s="217"/>
      <c r="S39" s="230"/>
      <c r="T39" s="230"/>
      <c r="U39" s="230"/>
      <c r="V39" s="208"/>
      <c r="W39" s="208"/>
      <c r="X39" s="208"/>
      <c r="Y39" s="213"/>
      <c r="Z39" s="213"/>
      <c r="AA39" s="213"/>
      <c r="AB39" s="203"/>
      <c r="AC39" s="203"/>
      <c r="AD39" s="203"/>
      <c r="AE39" s="210"/>
      <c r="AF39" s="210"/>
      <c r="AG39" s="210"/>
      <c r="AH39" s="181"/>
      <c r="AI39" s="181"/>
      <c r="AJ39" s="181"/>
      <c r="AK39" s="217"/>
      <c r="AL39" s="217"/>
      <c r="AM39" s="217"/>
      <c r="AN39" s="225"/>
      <c r="AO39" s="224"/>
      <c r="AP39" s="225"/>
    </row>
    <row r="40">
      <c r="A40" s="208"/>
      <c r="B40" s="208"/>
      <c r="C40" s="208"/>
      <c r="D40" s="213"/>
      <c r="E40" s="213"/>
      <c r="F40" s="213"/>
      <c r="G40" s="203"/>
      <c r="H40" s="203"/>
      <c r="I40" s="203"/>
      <c r="J40" s="210"/>
      <c r="K40" s="210"/>
      <c r="L40" s="210"/>
      <c r="M40" s="181"/>
      <c r="N40" s="181"/>
      <c r="O40" s="181"/>
      <c r="P40" s="217"/>
      <c r="Q40" s="217"/>
      <c r="R40" s="217"/>
      <c r="S40" s="230"/>
      <c r="T40" s="230"/>
      <c r="U40" s="230"/>
      <c r="V40" s="208"/>
      <c r="W40" s="208"/>
      <c r="X40" s="208"/>
      <c r="Y40" s="213"/>
      <c r="Z40" s="213"/>
      <c r="AA40" s="213"/>
      <c r="AB40" s="203"/>
      <c r="AC40" s="203"/>
      <c r="AD40" s="203"/>
      <c r="AE40" s="210"/>
      <c r="AF40" s="210"/>
      <c r="AG40" s="210"/>
      <c r="AH40" s="181"/>
      <c r="AI40" s="181"/>
      <c r="AJ40" s="181"/>
      <c r="AK40" s="217"/>
      <c r="AL40" s="217"/>
      <c r="AM40" s="217"/>
      <c r="AN40" s="225"/>
      <c r="AO40" s="224"/>
      <c r="AP40" s="225"/>
    </row>
    <row r="41">
      <c r="A41" s="208"/>
      <c r="B41" s="208"/>
      <c r="C41" s="208"/>
      <c r="D41" s="213"/>
      <c r="E41" s="213"/>
      <c r="F41" s="213"/>
      <c r="G41" s="203"/>
      <c r="H41" s="203"/>
      <c r="I41" s="203"/>
      <c r="J41" s="210"/>
      <c r="K41" s="210"/>
      <c r="L41" s="210"/>
      <c r="M41" s="181"/>
      <c r="N41" s="181"/>
      <c r="O41" s="181"/>
      <c r="P41" s="217"/>
      <c r="Q41" s="217"/>
      <c r="R41" s="217"/>
      <c r="S41" s="230"/>
      <c r="T41" s="230"/>
      <c r="U41" s="230"/>
      <c r="V41" s="208"/>
      <c r="W41" s="208"/>
      <c r="X41" s="208"/>
      <c r="Y41" s="213"/>
      <c r="Z41" s="213"/>
      <c r="AA41" s="213"/>
      <c r="AB41" s="203"/>
      <c r="AC41" s="203"/>
      <c r="AD41" s="203"/>
      <c r="AE41" s="210"/>
      <c r="AF41" s="210"/>
      <c r="AG41" s="210"/>
      <c r="AH41" s="181"/>
      <c r="AI41" s="181"/>
      <c r="AJ41" s="181"/>
      <c r="AK41" s="217"/>
      <c r="AL41" s="217"/>
      <c r="AM41" s="217"/>
      <c r="AN41" s="225"/>
      <c r="AO41" s="224"/>
      <c r="AP41" s="225"/>
    </row>
    <row r="42">
      <c r="A42" s="208"/>
      <c r="B42" s="208"/>
      <c r="C42" s="208"/>
      <c r="D42" s="213"/>
      <c r="E42" s="213"/>
      <c r="F42" s="213"/>
      <c r="G42" s="203"/>
      <c r="H42" s="203"/>
      <c r="I42" s="203"/>
      <c r="J42" s="210"/>
      <c r="K42" s="210"/>
      <c r="L42" s="210"/>
      <c r="M42" s="181"/>
      <c r="N42" s="181"/>
      <c r="O42" s="181"/>
      <c r="P42" s="217"/>
      <c r="Q42" s="217"/>
      <c r="R42" s="217"/>
      <c r="S42" s="230"/>
      <c r="T42" s="230"/>
      <c r="U42" s="230"/>
      <c r="V42" s="208"/>
      <c r="W42" s="208"/>
      <c r="X42" s="208"/>
      <c r="Y42" s="213"/>
      <c r="Z42" s="213"/>
      <c r="AA42" s="213"/>
      <c r="AB42" s="203"/>
      <c r="AC42" s="203"/>
      <c r="AD42" s="203"/>
      <c r="AE42" s="210"/>
      <c r="AF42" s="210"/>
      <c r="AG42" s="210"/>
      <c r="AH42" s="181"/>
      <c r="AI42" s="181"/>
      <c r="AJ42" s="181"/>
      <c r="AK42" s="217"/>
      <c r="AL42" s="217"/>
      <c r="AM42" s="217"/>
      <c r="AN42" s="225"/>
      <c r="AO42" s="224"/>
      <c r="AP42" s="225"/>
    </row>
    <row r="43">
      <c r="A43" s="208"/>
      <c r="B43" s="208"/>
      <c r="C43" s="208"/>
      <c r="D43" s="213"/>
      <c r="E43" s="213"/>
      <c r="F43" s="213"/>
      <c r="G43" s="203"/>
      <c r="H43" s="203"/>
      <c r="I43" s="203"/>
      <c r="J43" s="210"/>
      <c r="K43" s="210"/>
      <c r="L43" s="210"/>
      <c r="M43" s="181"/>
      <c r="N43" s="181"/>
      <c r="O43" s="181"/>
      <c r="P43" s="217"/>
      <c r="Q43" s="217"/>
      <c r="R43" s="217"/>
      <c r="S43" s="230"/>
      <c r="T43" s="230"/>
      <c r="U43" s="230"/>
      <c r="V43" s="208"/>
      <c r="W43" s="208"/>
      <c r="X43" s="208"/>
      <c r="Y43" s="213"/>
      <c r="Z43" s="213"/>
      <c r="AA43" s="213"/>
      <c r="AB43" s="203"/>
      <c r="AC43" s="203"/>
      <c r="AD43" s="203"/>
      <c r="AE43" s="210"/>
      <c r="AF43" s="210"/>
      <c r="AG43" s="210"/>
      <c r="AH43" s="181"/>
      <c r="AI43" s="181"/>
      <c r="AJ43" s="181"/>
      <c r="AK43" s="217"/>
      <c r="AL43" s="217"/>
      <c r="AM43" s="217"/>
      <c r="AN43" s="225"/>
      <c r="AO43" s="224"/>
      <c r="AP43" s="225"/>
    </row>
    <row r="44">
      <c r="A44" s="208"/>
      <c r="B44" s="208"/>
      <c r="C44" s="208"/>
      <c r="D44" s="213"/>
      <c r="E44" s="213"/>
      <c r="F44" s="213"/>
      <c r="G44" s="203"/>
      <c r="H44" s="203"/>
      <c r="I44" s="203"/>
      <c r="J44" s="210"/>
      <c r="K44" s="210"/>
      <c r="L44" s="210"/>
      <c r="M44" s="181"/>
      <c r="N44" s="181"/>
      <c r="O44" s="181"/>
      <c r="P44" s="217"/>
      <c r="Q44" s="217"/>
      <c r="R44" s="217"/>
      <c r="S44" s="230"/>
      <c r="T44" s="230"/>
      <c r="U44" s="230"/>
      <c r="V44" s="208"/>
      <c r="W44" s="208"/>
      <c r="X44" s="208"/>
      <c r="Y44" s="213"/>
      <c r="Z44" s="213"/>
      <c r="AA44" s="213"/>
      <c r="AB44" s="203"/>
      <c r="AC44" s="203"/>
      <c r="AD44" s="203"/>
      <c r="AE44" s="210"/>
      <c r="AF44" s="210"/>
      <c r="AG44" s="210"/>
      <c r="AH44" s="181"/>
      <c r="AI44" s="181"/>
      <c r="AJ44" s="181"/>
      <c r="AK44" s="217"/>
      <c r="AL44" s="217"/>
      <c r="AM44" s="217"/>
      <c r="AN44" s="225"/>
      <c r="AO44" s="224"/>
      <c r="AP44" s="225"/>
    </row>
    <row r="45">
      <c r="A45" s="208"/>
      <c r="B45" s="208"/>
      <c r="C45" s="208"/>
      <c r="D45" s="213"/>
      <c r="E45" s="213"/>
      <c r="F45" s="213"/>
      <c r="G45" s="203"/>
      <c r="H45" s="203"/>
      <c r="I45" s="203"/>
      <c r="J45" s="210"/>
      <c r="K45" s="210"/>
      <c r="L45" s="210"/>
      <c r="M45" s="181"/>
      <c r="N45" s="181"/>
      <c r="O45" s="181"/>
      <c r="P45" s="217"/>
      <c r="Q45" s="217"/>
      <c r="R45" s="217"/>
      <c r="S45" s="230"/>
      <c r="T45" s="230"/>
      <c r="U45" s="230"/>
      <c r="V45" s="208"/>
      <c r="W45" s="208"/>
      <c r="X45" s="208"/>
      <c r="Y45" s="213"/>
      <c r="Z45" s="213"/>
      <c r="AA45" s="213"/>
      <c r="AB45" s="203"/>
      <c r="AC45" s="203"/>
      <c r="AD45" s="203"/>
      <c r="AE45" s="210"/>
      <c r="AF45" s="210"/>
      <c r="AG45" s="210"/>
      <c r="AH45" s="181"/>
      <c r="AI45" s="181"/>
      <c r="AJ45" s="181"/>
      <c r="AK45" s="217"/>
      <c r="AL45" s="217"/>
      <c r="AM45" s="217"/>
      <c r="AN45" s="225"/>
      <c r="AO45" s="224"/>
      <c r="AP45" s="225"/>
    </row>
    <row r="46">
      <c r="A46" s="208"/>
      <c r="B46" s="208"/>
      <c r="C46" s="208"/>
      <c r="D46" s="213"/>
      <c r="E46" s="213"/>
      <c r="F46" s="213"/>
      <c r="G46" s="203"/>
      <c r="H46" s="203"/>
      <c r="I46" s="203"/>
      <c r="J46" s="210"/>
      <c r="K46" s="210"/>
      <c r="L46" s="210"/>
      <c r="M46" s="181"/>
      <c r="N46" s="181"/>
      <c r="O46" s="181"/>
      <c r="P46" s="217"/>
      <c r="Q46" s="217"/>
      <c r="R46" s="217"/>
      <c r="S46" s="230"/>
      <c r="T46" s="230"/>
      <c r="U46" s="230"/>
      <c r="V46" s="208"/>
      <c r="W46" s="208"/>
      <c r="X46" s="208"/>
      <c r="Y46" s="213"/>
      <c r="Z46" s="213"/>
      <c r="AA46" s="213"/>
      <c r="AB46" s="203"/>
      <c r="AC46" s="203"/>
      <c r="AD46" s="203"/>
      <c r="AE46" s="210"/>
      <c r="AF46" s="210"/>
      <c r="AG46" s="210"/>
      <c r="AH46" s="181"/>
      <c r="AI46" s="181"/>
      <c r="AJ46" s="181"/>
      <c r="AK46" s="217"/>
      <c r="AL46" s="217"/>
      <c r="AM46" s="217"/>
      <c r="AN46" s="225"/>
      <c r="AO46" s="224"/>
      <c r="AP46" s="225"/>
    </row>
    <row r="47">
      <c r="A47" s="208"/>
      <c r="B47" s="208"/>
      <c r="C47" s="208"/>
      <c r="D47" s="213"/>
      <c r="E47" s="213"/>
      <c r="F47" s="213"/>
      <c r="G47" s="203"/>
      <c r="H47" s="203"/>
      <c r="I47" s="203"/>
      <c r="J47" s="210"/>
      <c r="K47" s="210"/>
      <c r="L47" s="210"/>
      <c r="M47" s="181"/>
      <c r="N47" s="181"/>
      <c r="O47" s="181"/>
      <c r="P47" s="217"/>
      <c r="Q47" s="217"/>
      <c r="R47" s="217"/>
      <c r="S47" s="230"/>
      <c r="T47" s="230"/>
      <c r="U47" s="230"/>
      <c r="V47" s="208"/>
      <c r="W47" s="208"/>
      <c r="X47" s="208"/>
      <c r="Y47" s="213"/>
      <c r="Z47" s="213"/>
      <c r="AA47" s="213"/>
      <c r="AB47" s="203"/>
      <c r="AC47" s="203"/>
      <c r="AD47" s="203"/>
      <c r="AE47" s="210"/>
      <c r="AF47" s="210"/>
      <c r="AG47" s="210"/>
      <c r="AH47" s="181"/>
      <c r="AI47" s="181"/>
      <c r="AJ47" s="181"/>
      <c r="AK47" s="217"/>
      <c r="AL47" s="217"/>
      <c r="AM47" s="217"/>
      <c r="AN47" s="225"/>
      <c r="AO47" s="224"/>
      <c r="AP47" s="225"/>
    </row>
    <row r="48">
      <c r="A48" s="208"/>
      <c r="B48" s="208"/>
      <c r="C48" s="208"/>
      <c r="D48" s="213"/>
      <c r="E48" s="213"/>
      <c r="F48" s="213"/>
      <c r="G48" s="203"/>
      <c r="H48" s="203"/>
      <c r="I48" s="203"/>
      <c r="J48" s="210"/>
      <c r="K48" s="210"/>
      <c r="L48" s="210"/>
      <c r="M48" s="181"/>
      <c r="N48" s="181"/>
      <c r="O48" s="181"/>
      <c r="P48" s="217"/>
      <c r="Q48" s="217"/>
      <c r="R48" s="217"/>
      <c r="S48" s="230"/>
      <c r="T48" s="230"/>
      <c r="U48" s="230"/>
      <c r="V48" s="208"/>
      <c r="W48" s="208"/>
      <c r="X48" s="208"/>
      <c r="Y48" s="213"/>
      <c r="Z48" s="213"/>
      <c r="AA48" s="213"/>
      <c r="AB48" s="203"/>
      <c r="AC48" s="203"/>
      <c r="AD48" s="203"/>
      <c r="AE48" s="210"/>
      <c r="AF48" s="210"/>
      <c r="AG48" s="210"/>
      <c r="AH48" s="181"/>
      <c r="AI48" s="181"/>
      <c r="AJ48" s="181"/>
      <c r="AK48" s="217"/>
      <c r="AL48" s="217"/>
      <c r="AM48" s="217"/>
      <c r="AN48" s="225"/>
      <c r="AO48" s="224"/>
      <c r="AP48" s="225"/>
    </row>
    <row r="49">
      <c r="A49" s="208"/>
      <c r="B49" s="208"/>
      <c r="C49" s="208"/>
      <c r="D49" s="213"/>
      <c r="E49" s="213"/>
      <c r="F49" s="213"/>
      <c r="G49" s="203"/>
      <c r="H49" s="203"/>
      <c r="I49" s="203"/>
      <c r="J49" s="210"/>
      <c r="K49" s="210"/>
      <c r="L49" s="210"/>
      <c r="M49" s="181"/>
      <c r="N49" s="181"/>
      <c r="O49" s="181"/>
      <c r="P49" s="217"/>
      <c r="Q49" s="217"/>
      <c r="R49" s="217"/>
      <c r="S49" s="230"/>
      <c r="T49" s="230"/>
      <c r="U49" s="230"/>
      <c r="V49" s="208"/>
      <c r="W49" s="208"/>
      <c r="X49" s="208"/>
      <c r="Y49" s="213"/>
      <c r="Z49" s="213"/>
      <c r="AA49" s="213"/>
      <c r="AB49" s="203"/>
      <c r="AC49" s="203"/>
      <c r="AD49" s="203"/>
      <c r="AE49" s="210"/>
      <c r="AF49" s="210"/>
      <c r="AG49" s="210"/>
      <c r="AH49" s="181"/>
      <c r="AI49" s="181"/>
      <c r="AJ49" s="181"/>
      <c r="AK49" s="217"/>
      <c r="AL49" s="217"/>
      <c r="AM49" s="217"/>
      <c r="AN49" s="225"/>
      <c r="AO49" s="224"/>
      <c r="AP49" s="225"/>
    </row>
    <row r="50">
      <c r="A50" s="208"/>
      <c r="B50" s="208"/>
      <c r="C50" s="208"/>
      <c r="D50" s="213"/>
      <c r="E50" s="213"/>
      <c r="F50" s="213"/>
      <c r="G50" s="203"/>
      <c r="H50" s="203"/>
      <c r="I50" s="203"/>
      <c r="J50" s="210"/>
      <c r="K50" s="210"/>
      <c r="L50" s="210"/>
      <c r="M50" s="181"/>
      <c r="N50" s="181"/>
      <c r="O50" s="181"/>
      <c r="P50" s="217"/>
      <c r="Q50" s="217"/>
      <c r="R50" s="217"/>
      <c r="S50" s="230"/>
      <c r="T50" s="230"/>
      <c r="U50" s="230"/>
      <c r="V50" s="208"/>
      <c r="W50" s="208"/>
      <c r="X50" s="208"/>
      <c r="Y50" s="213"/>
      <c r="Z50" s="213"/>
      <c r="AA50" s="213"/>
      <c r="AB50" s="203"/>
      <c r="AC50" s="203"/>
      <c r="AD50" s="203"/>
      <c r="AE50" s="210"/>
      <c r="AF50" s="210"/>
      <c r="AG50" s="210"/>
      <c r="AH50" s="181"/>
      <c r="AI50" s="181"/>
      <c r="AJ50" s="181"/>
      <c r="AK50" s="217"/>
      <c r="AL50" s="217"/>
      <c r="AM50" s="217"/>
      <c r="AN50" s="225"/>
      <c r="AO50" s="224"/>
      <c r="AP50" s="225"/>
    </row>
    <row r="51">
      <c r="A51" s="208"/>
      <c r="B51" s="208"/>
      <c r="C51" s="208"/>
      <c r="D51" s="213"/>
      <c r="E51" s="213"/>
      <c r="F51" s="213"/>
      <c r="G51" s="203"/>
      <c r="H51" s="203"/>
      <c r="I51" s="203"/>
      <c r="J51" s="210"/>
      <c r="K51" s="210"/>
      <c r="L51" s="210"/>
      <c r="M51" s="181"/>
      <c r="N51" s="181"/>
      <c r="O51" s="181"/>
      <c r="P51" s="217"/>
      <c r="Q51" s="217"/>
      <c r="R51" s="217"/>
      <c r="S51" s="230"/>
      <c r="T51" s="230"/>
      <c r="U51" s="230"/>
      <c r="V51" s="208"/>
      <c r="W51" s="208"/>
      <c r="X51" s="208"/>
      <c r="Y51" s="213"/>
      <c r="Z51" s="213"/>
      <c r="AA51" s="213"/>
      <c r="AB51" s="203"/>
      <c r="AC51" s="203"/>
      <c r="AD51" s="203"/>
      <c r="AE51" s="210"/>
      <c r="AF51" s="210"/>
      <c r="AG51" s="210"/>
      <c r="AH51" s="181"/>
      <c r="AI51" s="181"/>
      <c r="AJ51" s="181"/>
      <c r="AK51" s="217"/>
      <c r="AL51" s="217"/>
      <c r="AM51" s="217"/>
      <c r="AN51" s="225"/>
      <c r="AO51" s="224"/>
      <c r="AP51" s="225"/>
    </row>
    <row r="52">
      <c r="A52" s="208"/>
      <c r="B52" s="208"/>
      <c r="C52" s="208"/>
      <c r="D52" s="213"/>
      <c r="E52" s="213"/>
      <c r="F52" s="213"/>
      <c r="G52" s="203"/>
      <c r="H52" s="203"/>
      <c r="I52" s="203"/>
      <c r="J52" s="210"/>
      <c r="K52" s="210"/>
      <c r="L52" s="210"/>
      <c r="M52" s="181"/>
      <c r="N52" s="181"/>
      <c r="O52" s="181"/>
      <c r="P52" s="217"/>
      <c r="Q52" s="217"/>
      <c r="R52" s="217"/>
      <c r="S52" s="230"/>
      <c r="T52" s="230"/>
      <c r="U52" s="230"/>
      <c r="V52" s="208"/>
      <c r="W52" s="208"/>
      <c r="X52" s="208"/>
      <c r="Y52" s="213"/>
      <c r="Z52" s="213"/>
      <c r="AA52" s="213"/>
      <c r="AB52" s="203"/>
      <c r="AC52" s="203"/>
      <c r="AD52" s="203"/>
      <c r="AE52" s="210"/>
      <c r="AF52" s="210"/>
      <c r="AG52" s="210"/>
      <c r="AH52" s="181"/>
      <c r="AI52" s="181"/>
      <c r="AJ52" s="181"/>
      <c r="AK52" s="217"/>
      <c r="AL52" s="217"/>
      <c r="AM52" s="217"/>
      <c r="AN52" s="225"/>
      <c r="AO52" s="224"/>
      <c r="AP52" s="225"/>
    </row>
    <row r="53">
      <c r="A53" s="208"/>
      <c r="B53" s="208"/>
      <c r="C53" s="208"/>
      <c r="D53" s="213"/>
      <c r="E53" s="213"/>
      <c r="F53" s="213"/>
      <c r="G53" s="203"/>
      <c r="H53" s="203"/>
      <c r="I53" s="203"/>
      <c r="J53" s="210"/>
      <c r="K53" s="210"/>
      <c r="L53" s="210"/>
      <c r="M53" s="181"/>
      <c r="N53" s="181"/>
      <c r="O53" s="181"/>
      <c r="P53" s="217"/>
      <c r="Q53" s="217"/>
      <c r="R53" s="217"/>
      <c r="S53" s="230"/>
      <c r="T53" s="230"/>
      <c r="U53" s="230"/>
      <c r="V53" s="208"/>
      <c r="W53" s="208"/>
      <c r="X53" s="208"/>
      <c r="Y53" s="213"/>
      <c r="Z53" s="213"/>
      <c r="AA53" s="213"/>
      <c r="AB53" s="203"/>
      <c r="AC53" s="203"/>
      <c r="AD53" s="203"/>
      <c r="AE53" s="210"/>
      <c r="AF53" s="210"/>
      <c r="AG53" s="210"/>
      <c r="AH53" s="181"/>
      <c r="AI53" s="181"/>
      <c r="AJ53" s="181"/>
      <c r="AK53" s="217"/>
      <c r="AL53" s="217"/>
      <c r="AM53" s="217"/>
      <c r="AN53" s="225"/>
      <c r="AO53" s="224"/>
      <c r="AP53" s="225"/>
    </row>
    <row r="54">
      <c r="A54" s="208"/>
      <c r="B54" s="208"/>
      <c r="C54" s="208"/>
      <c r="D54" s="213"/>
      <c r="E54" s="213"/>
      <c r="F54" s="213"/>
      <c r="G54" s="203"/>
      <c r="H54" s="203"/>
      <c r="I54" s="203"/>
      <c r="J54" s="210"/>
      <c r="K54" s="210"/>
      <c r="L54" s="210"/>
      <c r="M54" s="181"/>
      <c r="N54" s="181"/>
      <c r="O54" s="181"/>
      <c r="P54" s="217"/>
      <c r="Q54" s="217"/>
      <c r="R54" s="217"/>
      <c r="S54" s="230"/>
      <c r="T54" s="230"/>
      <c r="U54" s="230"/>
      <c r="V54" s="208"/>
      <c r="W54" s="208"/>
      <c r="X54" s="208"/>
      <c r="Y54" s="213"/>
      <c r="Z54" s="213"/>
      <c r="AA54" s="213"/>
      <c r="AB54" s="203"/>
      <c r="AC54" s="203"/>
      <c r="AD54" s="203"/>
      <c r="AE54" s="210"/>
      <c r="AF54" s="210"/>
      <c r="AG54" s="210"/>
      <c r="AH54" s="181"/>
      <c r="AI54" s="181"/>
      <c r="AJ54" s="181"/>
      <c r="AK54" s="217"/>
      <c r="AL54" s="217"/>
      <c r="AM54" s="217"/>
      <c r="AN54" s="225"/>
      <c r="AO54" s="224"/>
      <c r="AP54" s="225"/>
    </row>
    <row r="55">
      <c r="A55" s="208"/>
      <c r="B55" s="208"/>
      <c r="C55" s="208"/>
      <c r="D55" s="213"/>
      <c r="E55" s="213"/>
      <c r="F55" s="213"/>
      <c r="G55" s="203"/>
      <c r="H55" s="203"/>
      <c r="I55" s="203"/>
      <c r="J55" s="210"/>
      <c r="K55" s="210"/>
      <c r="L55" s="210"/>
      <c r="M55" s="181"/>
      <c r="N55" s="181"/>
      <c r="O55" s="181"/>
      <c r="P55" s="217"/>
      <c r="Q55" s="217"/>
      <c r="R55" s="217"/>
      <c r="S55" s="230"/>
      <c r="T55" s="230"/>
      <c r="U55" s="230"/>
      <c r="V55" s="208"/>
      <c r="W55" s="208"/>
      <c r="X55" s="208"/>
      <c r="Y55" s="213"/>
      <c r="Z55" s="213"/>
      <c r="AA55" s="213"/>
      <c r="AB55" s="203"/>
      <c r="AC55" s="203"/>
      <c r="AD55" s="203"/>
      <c r="AE55" s="210"/>
      <c r="AF55" s="210"/>
      <c r="AG55" s="210"/>
      <c r="AH55" s="181"/>
      <c r="AI55" s="181"/>
      <c r="AJ55" s="181"/>
      <c r="AK55" s="217"/>
      <c r="AL55" s="217"/>
      <c r="AM55" s="217"/>
      <c r="AN55" s="225"/>
      <c r="AO55" s="224"/>
      <c r="AP55" s="225"/>
    </row>
    <row r="56">
      <c r="A56" s="208"/>
      <c r="B56" s="208"/>
      <c r="C56" s="208"/>
      <c r="D56" s="213"/>
      <c r="E56" s="213"/>
      <c r="F56" s="213"/>
      <c r="G56" s="203"/>
      <c r="H56" s="203"/>
      <c r="I56" s="203"/>
      <c r="J56" s="210"/>
      <c r="K56" s="210"/>
      <c r="L56" s="210"/>
      <c r="M56" s="181"/>
      <c r="N56" s="181"/>
      <c r="O56" s="181"/>
      <c r="P56" s="217"/>
      <c r="Q56" s="217"/>
      <c r="R56" s="217"/>
      <c r="S56" s="230"/>
      <c r="T56" s="230"/>
      <c r="U56" s="230"/>
      <c r="V56" s="208"/>
      <c r="W56" s="208"/>
      <c r="X56" s="208"/>
      <c r="Y56" s="213"/>
      <c r="Z56" s="213"/>
      <c r="AA56" s="213"/>
      <c r="AB56" s="203"/>
      <c r="AC56" s="203"/>
      <c r="AD56" s="203"/>
      <c r="AE56" s="210"/>
      <c r="AF56" s="210"/>
      <c r="AG56" s="210"/>
      <c r="AH56" s="181"/>
      <c r="AI56" s="181"/>
      <c r="AJ56" s="181"/>
      <c r="AK56" s="217"/>
      <c r="AL56" s="217"/>
      <c r="AM56" s="217"/>
      <c r="AN56" s="225"/>
      <c r="AO56" s="224"/>
      <c r="AP56" s="225"/>
    </row>
    <row r="57">
      <c r="A57" s="208"/>
      <c r="B57" s="208"/>
      <c r="C57" s="208"/>
      <c r="D57" s="213"/>
      <c r="E57" s="213"/>
      <c r="F57" s="213"/>
      <c r="G57" s="203"/>
      <c r="H57" s="203"/>
      <c r="I57" s="203"/>
      <c r="J57" s="210"/>
      <c r="K57" s="210"/>
      <c r="L57" s="210"/>
      <c r="M57" s="181"/>
      <c r="N57" s="181"/>
      <c r="O57" s="181"/>
      <c r="P57" s="217"/>
      <c r="Q57" s="217"/>
      <c r="R57" s="217"/>
      <c r="S57" s="230"/>
      <c r="T57" s="230"/>
      <c r="U57" s="230"/>
      <c r="V57" s="208"/>
      <c r="W57" s="208"/>
      <c r="X57" s="208"/>
      <c r="Y57" s="213"/>
      <c r="Z57" s="213"/>
      <c r="AA57" s="213"/>
      <c r="AB57" s="203"/>
      <c r="AC57" s="203"/>
      <c r="AD57" s="203"/>
      <c r="AE57" s="210"/>
      <c r="AF57" s="210"/>
      <c r="AG57" s="210"/>
      <c r="AH57" s="181"/>
      <c r="AI57" s="181"/>
      <c r="AJ57" s="181"/>
      <c r="AK57" s="217"/>
      <c r="AL57" s="217"/>
      <c r="AM57" s="217"/>
      <c r="AN57" s="225"/>
      <c r="AO57" s="224"/>
      <c r="AP57" s="225"/>
    </row>
    <row r="58">
      <c r="A58" s="208"/>
      <c r="B58" s="208"/>
      <c r="C58" s="208"/>
      <c r="D58" s="213"/>
      <c r="E58" s="213"/>
      <c r="F58" s="213"/>
      <c r="G58" s="203"/>
      <c r="H58" s="203"/>
      <c r="I58" s="203"/>
      <c r="J58" s="210"/>
      <c r="K58" s="210"/>
      <c r="L58" s="210"/>
      <c r="M58" s="181"/>
      <c r="N58" s="181"/>
      <c r="O58" s="181"/>
      <c r="P58" s="217"/>
      <c r="Q58" s="217"/>
      <c r="R58" s="217"/>
      <c r="S58" s="230"/>
      <c r="T58" s="230"/>
      <c r="U58" s="230"/>
      <c r="V58" s="208"/>
      <c r="W58" s="208"/>
      <c r="X58" s="208"/>
      <c r="Y58" s="213"/>
      <c r="Z58" s="213"/>
      <c r="AA58" s="213"/>
      <c r="AB58" s="203"/>
      <c r="AC58" s="203"/>
      <c r="AD58" s="203"/>
      <c r="AE58" s="210"/>
      <c r="AF58" s="210"/>
      <c r="AG58" s="210"/>
      <c r="AH58" s="181"/>
      <c r="AI58" s="181"/>
      <c r="AJ58" s="181"/>
      <c r="AK58" s="217"/>
      <c r="AL58" s="217"/>
      <c r="AM58" s="217"/>
      <c r="AN58" s="225"/>
      <c r="AO58" s="224"/>
      <c r="AP58" s="225"/>
    </row>
    <row r="59">
      <c r="A59" s="208"/>
      <c r="B59" s="208"/>
      <c r="C59" s="208"/>
      <c r="D59" s="213"/>
      <c r="E59" s="213"/>
      <c r="F59" s="213"/>
      <c r="G59" s="203"/>
      <c r="H59" s="203"/>
      <c r="I59" s="203"/>
      <c r="J59" s="210"/>
      <c r="K59" s="210"/>
      <c r="L59" s="210"/>
      <c r="M59" s="181"/>
      <c r="N59" s="181"/>
      <c r="O59" s="181"/>
      <c r="P59" s="217"/>
      <c r="Q59" s="217"/>
      <c r="R59" s="217"/>
      <c r="S59" s="230"/>
      <c r="T59" s="230"/>
      <c r="U59" s="230"/>
      <c r="V59" s="208"/>
      <c r="W59" s="208"/>
      <c r="X59" s="208"/>
      <c r="Y59" s="213"/>
      <c r="Z59" s="213"/>
      <c r="AA59" s="213"/>
      <c r="AB59" s="203"/>
      <c r="AC59" s="203"/>
      <c r="AD59" s="203"/>
      <c r="AE59" s="210"/>
      <c r="AF59" s="210"/>
      <c r="AG59" s="210"/>
      <c r="AH59" s="181"/>
      <c r="AI59" s="181"/>
      <c r="AJ59" s="181"/>
      <c r="AK59" s="217"/>
      <c r="AL59" s="217"/>
      <c r="AM59" s="217"/>
      <c r="AN59" s="225"/>
      <c r="AO59" s="224"/>
      <c r="AP59" s="225"/>
    </row>
    <row r="60">
      <c r="A60" s="208"/>
      <c r="B60" s="208"/>
      <c r="C60" s="208"/>
      <c r="D60" s="213"/>
      <c r="E60" s="213"/>
      <c r="F60" s="213"/>
      <c r="G60" s="203"/>
      <c r="H60" s="203"/>
      <c r="I60" s="203"/>
      <c r="J60" s="210"/>
      <c r="K60" s="210"/>
      <c r="L60" s="210"/>
      <c r="M60" s="181"/>
      <c r="N60" s="181"/>
      <c r="O60" s="181"/>
      <c r="P60" s="217"/>
      <c r="Q60" s="217"/>
      <c r="R60" s="217"/>
      <c r="S60" s="230"/>
      <c r="T60" s="230"/>
      <c r="U60" s="230"/>
      <c r="V60" s="208"/>
      <c r="W60" s="208"/>
      <c r="X60" s="208"/>
      <c r="Y60" s="213"/>
      <c r="Z60" s="213"/>
      <c r="AA60" s="213"/>
      <c r="AB60" s="203"/>
      <c r="AC60" s="203"/>
      <c r="AD60" s="203"/>
      <c r="AE60" s="210"/>
      <c r="AF60" s="210"/>
      <c r="AG60" s="210"/>
      <c r="AH60" s="181"/>
      <c r="AI60" s="181"/>
      <c r="AJ60" s="181"/>
      <c r="AK60" s="217"/>
      <c r="AL60" s="217"/>
      <c r="AM60" s="217"/>
      <c r="AN60" s="225"/>
      <c r="AO60" s="224"/>
      <c r="AP60" s="225"/>
    </row>
    <row r="61">
      <c r="A61" s="208"/>
      <c r="B61" s="208"/>
      <c r="C61" s="208"/>
      <c r="D61" s="213"/>
      <c r="E61" s="213"/>
      <c r="F61" s="213"/>
      <c r="G61" s="203"/>
      <c r="H61" s="203"/>
      <c r="I61" s="203"/>
      <c r="J61" s="210"/>
      <c r="K61" s="210"/>
      <c r="L61" s="210"/>
      <c r="M61" s="181"/>
      <c r="N61" s="181"/>
      <c r="O61" s="181"/>
      <c r="P61" s="217"/>
      <c r="Q61" s="217"/>
      <c r="R61" s="217"/>
      <c r="S61" s="230"/>
      <c r="T61" s="230"/>
      <c r="U61" s="230"/>
      <c r="V61" s="208"/>
      <c r="W61" s="208"/>
      <c r="X61" s="208"/>
      <c r="Y61" s="213"/>
      <c r="Z61" s="213"/>
      <c r="AA61" s="213"/>
      <c r="AB61" s="203"/>
      <c r="AC61" s="203"/>
      <c r="AD61" s="203"/>
      <c r="AE61" s="210"/>
      <c r="AF61" s="210"/>
      <c r="AG61" s="210"/>
      <c r="AH61" s="181"/>
      <c r="AI61" s="181"/>
      <c r="AJ61" s="181"/>
      <c r="AK61" s="217"/>
      <c r="AL61" s="217"/>
      <c r="AM61" s="217"/>
      <c r="AN61" s="225"/>
      <c r="AO61" s="224"/>
      <c r="AP61" s="225"/>
    </row>
    <row r="62">
      <c r="A62" s="208"/>
      <c r="B62" s="208"/>
      <c r="C62" s="208"/>
      <c r="D62" s="213"/>
      <c r="E62" s="213"/>
      <c r="F62" s="213"/>
      <c r="G62" s="203"/>
      <c r="H62" s="203"/>
      <c r="I62" s="203"/>
      <c r="J62" s="210"/>
      <c r="K62" s="210"/>
      <c r="L62" s="210"/>
      <c r="M62" s="181"/>
      <c r="N62" s="181"/>
      <c r="O62" s="181"/>
      <c r="P62" s="217"/>
      <c r="Q62" s="217"/>
      <c r="R62" s="217"/>
      <c r="S62" s="230"/>
      <c r="T62" s="230"/>
      <c r="U62" s="230"/>
      <c r="V62" s="208"/>
      <c r="W62" s="208"/>
      <c r="X62" s="208"/>
      <c r="Y62" s="213"/>
      <c r="Z62" s="213"/>
      <c r="AA62" s="213"/>
      <c r="AB62" s="203"/>
      <c r="AC62" s="203"/>
      <c r="AD62" s="203"/>
      <c r="AE62" s="210"/>
      <c r="AF62" s="210"/>
      <c r="AG62" s="210"/>
      <c r="AH62" s="181"/>
      <c r="AI62" s="181"/>
      <c r="AJ62" s="181"/>
      <c r="AK62" s="217"/>
      <c r="AL62" s="217"/>
      <c r="AM62" s="217"/>
      <c r="AN62" s="225"/>
      <c r="AO62" s="224"/>
      <c r="AP62" s="225"/>
    </row>
    <row r="63">
      <c r="A63" s="208"/>
      <c r="B63" s="208"/>
      <c r="C63" s="208"/>
      <c r="D63" s="213"/>
      <c r="E63" s="213"/>
      <c r="F63" s="213"/>
      <c r="G63" s="203"/>
      <c r="H63" s="203"/>
      <c r="I63" s="203"/>
      <c r="J63" s="210"/>
      <c r="K63" s="210"/>
      <c r="L63" s="210"/>
      <c r="M63" s="181"/>
      <c r="N63" s="181"/>
      <c r="O63" s="181"/>
      <c r="P63" s="217"/>
      <c r="Q63" s="217"/>
      <c r="R63" s="217"/>
      <c r="S63" s="230"/>
      <c r="T63" s="230"/>
      <c r="U63" s="230"/>
      <c r="V63" s="208"/>
      <c r="W63" s="208"/>
      <c r="X63" s="208"/>
      <c r="Y63" s="213"/>
      <c r="Z63" s="213"/>
      <c r="AA63" s="213"/>
      <c r="AB63" s="203"/>
      <c r="AC63" s="203"/>
      <c r="AD63" s="203"/>
      <c r="AE63" s="210"/>
      <c r="AF63" s="210"/>
      <c r="AG63" s="210"/>
      <c r="AH63" s="181"/>
      <c r="AI63" s="181"/>
      <c r="AJ63" s="181"/>
      <c r="AK63" s="217"/>
      <c r="AL63" s="217"/>
      <c r="AM63" s="217"/>
      <c r="AN63" s="225"/>
      <c r="AO63" s="224"/>
      <c r="AP63" s="225"/>
    </row>
    <row r="64">
      <c r="A64" s="208"/>
      <c r="B64" s="208"/>
      <c r="C64" s="208"/>
      <c r="D64" s="213"/>
      <c r="E64" s="213"/>
      <c r="F64" s="213"/>
      <c r="G64" s="203"/>
      <c r="H64" s="203"/>
      <c r="I64" s="203"/>
      <c r="J64" s="210"/>
      <c r="K64" s="210"/>
      <c r="L64" s="210"/>
      <c r="M64" s="181"/>
      <c r="N64" s="181"/>
      <c r="O64" s="181"/>
      <c r="P64" s="217"/>
      <c r="Q64" s="217"/>
      <c r="R64" s="217"/>
      <c r="S64" s="230"/>
      <c r="T64" s="230"/>
      <c r="U64" s="230"/>
      <c r="V64" s="208"/>
      <c r="W64" s="208"/>
      <c r="X64" s="208"/>
      <c r="Y64" s="213"/>
      <c r="Z64" s="213"/>
      <c r="AA64" s="213"/>
      <c r="AB64" s="203"/>
      <c r="AC64" s="203"/>
      <c r="AD64" s="203"/>
      <c r="AE64" s="210"/>
      <c r="AF64" s="210"/>
      <c r="AG64" s="210"/>
      <c r="AH64" s="181"/>
      <c r="AI64" s="181"/>
      <c r="AJ64" s="181"/>
      <c r="AK64" s="217"/>
      <c r="AL64" s="217"/>
      <c r="AM64" s="217"/>
      <c r="AN64" s="225"/>
      <c r="AO64" s="224"/>
      <c r="AP64" s="225"/>
    </row>
    <row r="65">
      <c r="A65" s="208"/>
      <c r="B65" s="208"/>
      <c r="C65" s="208"/>
      <c r="D65" s="213"/>
      <c r="E65" s="213"/>
      <c r="F65" s="213"/>
      <c r="G65" s="203"/>
      <c r="H65" s="203"/>
      <c r="I65" s="203"/>
      <c r="J65" s="210"/>
      <c r="K65" s="210"/>
      <c r="L65" s="210"/>
      <c r="M65" s="181"/>
      <c r="N65" s="181"/>
      <c r="O65" s="181"/>
      <c r="P65" s="217"/>
      <c r="Q65" s="217"/>
      <c r="R65" s="217"/>
      <c r="S65" s="230"/>
      <c r="T65" s="230"/>
      <c r="U65" s="230"/>
      <c r="V65" s="208"/>
      <c r="W65" s="208"/>
      <c r="X65" s="208"/>
      <c r="Y65" s="213"/>
      <c r="Z65" s="213"/>
      <c r="AA65" s="213"/>
      <c r="AB65" s="203"/>
      <c r="AC65" s="203"/>
      <c r="AD65" s="203"/>
      <c r="AE65" s="210"/>
      <c r="AF65" s="210"/>
      <c r="AG65" s="210"/>
      <c r="AH65" s="181"/>
      <c r="AI65" s="181"/>
      <c r="AJ65" s="181"/>
      <c r="AK65" s="217"/>
      <c r="AL65" s="217"/>
      <c r="AM65" s="217"/>
      <c r="AN65" s="225"/>
      <c r="AO65" s="224"/>
      <c r="AP65" s="225"/>
    </row>
    <row r="66">
      <c r="A66" s="208"/>
      <c r="B66" s="208"/>
      <c r="C66" s="208"/>
      <c r="D66" s="213"/>
      <c r="E66" s="213"/>
      <c r="F66" s="213"/>
      <c r="G66" s="203"/>
      <c r="H66" s="203"/>
      <c r="I66" s="203"/>
      <c r="J66" s="210"/>
      <c r="K66" s="210"/>
      <c r="L66" s="210"/>
      <c r="M66" s="181"/>
      <c r="N66" s="181"/>
      <c r="O66" s="181"/>
      <c r="P66" s="217"/>
      <c r="Q66" s="217"/>
      <c r="R66" s="217"/>
      <c r="S66" s="230"/>
      <c r="T66" s="230"/>
      <c r="U66" s="230"/>
      <c r="V66" s="208"/>
      <c r="W66" s="208"/>
      <c r="X66" s="208"/>
      <c r="Y66" s="213"/>
      <c r="Z66" s="213"/>
      <c r="AA66" s="213"/>
      <c r="AB66" s="203"/>
      <c r="AC66" s="203"/>
      <c r="AD66" s="203"/>
      <c r="AE66" s="210"/>
      <c r="AF66" s="210"/>
      <c r="AG66" s="210"/>
      <c r="AH66" s="181"/>
      <c r="AI66" s="181"/>
      <c r="AJ66" s="181"/>
      <c r="AK66" s="217"/>
      <c r="AL66" s="217"/>
      <c r="AM66" s="217"/>
      <c r="AN66" s="225"/>
      <c r="AO66" s="224"/>
      <c r="AP66" s="225"/>
    </row>
    <row r="67">
      <c r="A67" s="208"/>
      <c r="B67" s="208"/>
      <c r="C67" s="208"/>
      <c r="D67" s="213"/>
      <c r="E67" s="213"/>
      <c r="F67" s="213"/>
      <c r="G67" s="203"/>
      <c r="H67" s="203"/>
      <c r="I67" s="203"/>
      <c r="J67" s="210"/>
      <c r="K67" s="210"/>
      <c r="L67" s="210"/>
      <c r="M67" s="181"/>
      <c r="N67" s="181"/>
      <c r="O67" s="181"/>
      <c r="P67" s="217"/>
      <c r="Q67" s="217"/>
      <c r="R67" s="217"/>
      <c r="S67" s="230"/>
      <c r="T67" s="230"/>
      <c r="U67" s="230"/>
      <c r="V67" s="208"/>
      <c r="W67" s="208"/>
      <c r="X67" s="208"/>
      <c r="Y67" s="213"/>
      <c r="Z67" s="213"/>
      <c r="AA67" s="213"/>
      <c r="AB67" s="203"/>
      <c r="AC67" s="203"/>
      <c r="AD67" s="203"/>
      <c r="AE67" s="210"/>
      <c r="AF67" s="210"/>
      <c r="AG67" s="210"/>
      <c r="AH67" s="181"/>
      <c r="AI67" s="181"/>
      <c r="AJ67" s="181"/>
      <c r="AK67" s="217"/>
      <c r="AL67" s="217"/>
      <c r="AM67" s="217"/>
      <c r="AN67" s="225"/>
      <c r="AO67" s="224"/>
      <c r="AP67" s="225"/>
    </row>
    <row r="68">
      <c r="A68" s="208"/>
      <c r="B68" s="208"/>
      <c r="C68" s="208"/>
      <c r="D68" s="213"/>
      <c r="E68" s="213"/>
      <c r="F68" s="213"/>
      <c r="G68" s="203"/>
      <c r="H68" s="203"/>
      <c r="I68" s="203"/>
      <c r="J68" s="210"/>
      <c r="K68" s="210"/>
      <c r="L68" s="210"/>
      <c r="M68" s="181"/>
      <c r="N68" s="181"/>
      <c r="O68" s="181"/>
      <c r="P68" s="217"/>
      <c r="Q68" s="217"/>
      <c r="R68" s="217"/>
      <c r="S68" s="230"/>
      <c r="T68" s="230"/>
      <c r="U68" s="230"/>
      <c r="V68" s="208"/>
      <c r="W68" s="208"/>
      <c r="X68" s="208"/>
      <c r="Y68" s="213"/>
      <c r="Z68" s="213"/>
      <c r="AA68" s="213"/>
      <c r="AB68" s="203"/>
      <c r="AC68" s="203"/>
      <c r="AD68" s="203"/>
      <c r="AE68" s="210"/>
      <c r="AF68" s="210"/>
      <c r="AG68" s="210"/>
      <c r="AH68" s="181"/>
      <c r="AI68" s="181"/>
      <c r="AJ68" s="181"/>
      <c r="AK68" s="217"/>
      <c r="AL68" s="217"/>
      <c r="AM68" s="217"/>
      <c r="AN68" s="225"/>
      <c r="AO68" s="224"/>
      <c r="AP68" s="225"/>
    </row>
    <row r="69">
      <c r="A69" s="208"/>
      <c r="B69" s="208"/>
      <c r="C69" s="208"/>
      <c r="D69" s="213"/>
      <c r="E69" s="213"/>
      <c r="F69" s="213"/>
      <c r="G69" s="203"/>
      <c r="H69" s="203"/>
      <c r="I69" s="203"/>
      <c r="J69" s="210"/>
      <c r="K69" s="210"/>
      <c r="L69" s="210"/>
      <c r="M69" s="181"/>
      <c r="N69" s="181"/>
      <c r="O69" s="181"/>
      <c r="P69" s="217"/>
      <c r="Q69" s="217"/>
      <c r="R69" s="217"/>
      <c r="S69" s="230"/>
      <c r="T69" s="230"/>
      <c r="U69" s="230"/>
      <c r="V69" s="208"/>
      <c r="W69" s="208"/>
      <c r="X69" s="208"/>
      <c r="Y69" s="213"/>
      <c r="Z69" s="213"/>
      <c r="AA69" s="213"/>
      <c r="AB69" s="203"/>
      <c r="AC69" s="203"/>
      <c r="AD69" s="203"/>
      <c r="AE69" s="210"/>
      <c r="AF69" s="210"/>
      <c r="AG69" s="210"/>
      <c r="AH69" s="181"/>
      <c r="AI69" s="181"/>
      <c r="AJ69" s="181"/>
      <c r="AK69" s="217"/>
      <c r="AL69" s="217"/>
      <c r="AM69" s="217"/>
      <c r="AN69" s="225"/>
      <c r="AO69" s="224"/>
      <c r="AP69" s="225"/>
    </row>
    <row r="70">
      <c r="A70" s="208"/>
      <c r="B70" s="208"/>
      <c r="C70" s="208"/>
      <c r="D70" s="213"/>
      <c r="E70" s="213"/>
      <c r="F70" s="213"/>
      <c r="G70" s="203"/>
      <c r="H70" s="203"/>
      <c r="I70" s="203"/>
      <c r="J70" s="210"/>
      <c r="K70" s="210"/>
      <c r="L70" s="210"/>
      <c r="M70" s="181"/>
      <c r="N70" s="181"/>
      <c r="O70" s="181"/>
      <c r="P70" s="217"/>
      <c r="Q70" s="217"/>
      <c r="R70" s="217"/>
      <c r="S70" s="230"/>
      <c r="T70" s="230"/>
      <c r="U70" s="230"/>
      <c r="V70" s="208"/>
      <c r="W70" s="208"/>
      <c r="X70" s="208"/>
      <c r="Y70" s="213"/>
      <c r="Z70" s="213"/>
      <c r="AA70" s="213"/>
      <c r="AB70" s="203"/>
      <c r="AC70" s="203"/>
      <c r="AD70" s="203"/>
      <c r="AE70" s="210"/>
      <c r="AF70" s="210"/>
      <c r="AG70" s="210"/>
      <c r="AH70" s="181"/>
      <c r="AI70" s="181"/>
      <c r="AJ70" s="181"/>
      <c r="AK70" s="217"/>
      <c r="AL70" s="217"/>
      <c r="AM70" s="217"/>
      <c r="AN70" s="225"/>
      <c r="AO70" s="224"/>
      <c r="AP70" s="225"/>
    </row>
    <row r="71">
      <c r="A71" s="208"/>
      <c r="B71" s="208"/>
      <c r="C71" s="208"/>
      <c r="D71" s="213"/>
      <c r="E71" s="213"/>
      <c r="F71" s="213"/>
      <c r="G71" s="203"/>
      <c r="H71" s="203"/>
      <c r="I71" s="203"/>
      <c r="J71" s="210"/>
      <c r="K71" s="210"/>
      <c r="L71" s="210"/>
      <c r="M71" s="181"/>
      <c r="N71" s="181"/>
      <c r="O71" s="181"/>
      <c r="P71" s="217"/>
      <c r="Q71" s="217"/>
      <c r="R71" s="217"/>
      <c r="S71" s="230"/>
      <c r="T71" s="230"/>
      <c r="U71" s="230"/>
      <c r="V71" s="208"/>
      <c r="W71" s="208"/>
      <c r="X71" s="208"/>
      <c r="Y71" s="213"/>
      <c r="Z71" s="213"/>
      <c r="AA71" s="213"/>
      <c r="AB71" s="203"/>
      <c r="AC71" s="203"/>
      <c r="AD71" s="203"/>
      <c r="AE71" s="210"/>
      <c r="AF71" s="210"/>
      <c r="AG71" s="210"/>
      <c r="AH71" s="181"/>
      <c r="AI71" s="181"/>
      <c r="AJ71" s="181"/>
      <c r="AK71" s="217"/>
      <c r="AL71" s="217"/>
      <c r="AM71" s="217"/>
      <c r="AN71" s="225"/>
      <c r="AO71" s="224"/>
      <c r="AP71" s="225"/>
    </row>
    <row r="72">
      <c r="A72" s="208"/>
      <c r="B72" s="208"/>
      <c r="C72" s="208"/>
      <c r="D72" s="213"/>
      <c r="E72" s="213"/>
      <c r="F72" s="213"/>
      <c r="G72" s="203"/>
      <c r="H72" s="203"/>
      <c r="I72" s="203"/>
      <c r="J72" s="210"/>
      <c r="K72" s="210"/>
      <c r="L72" s="210"/>
      <c r="M72" s="181"/>
      <c r="N72" s="181"/>
      <c r="O72" s="181"/>
      <c r="P72" s="217"/>
      <c r="Q72" s="217"/>
      <c r="R72" s="217"/>
      <c r="S72" s="230"/>
      <c r="T72" s="230"/>
      <c r="U72" s="230"/>
      <c r="V72" s="208"/>
      <c r="W72" s="208"/>
      <c r="X72" s="208"/>
      <c r="Y72" s="213"/>
      <c r="Z72" s="213"/>
      <c r="AA72" s="213"/>
      <c r="AB72" s="203"/>
      <c r="AC72" s="203"/>
      <c r="AD72" s="203"/>
      <c r="AE72" s="210"/>
      <c r="AF72" s="210"/>
      <c r="AG72" s="210"/>
      <c r="AH72" s="181"/>
      <c r="AI72" s="181"/>
      <c r="AJ72" s="181"/>
      <c r="AK72" s="217"/>
      <c r="AL72" s="217"/>
      <c r="AM72" s="217"/>
      <c r="AN72" s="225"/>
      <c r="AO72" s="224"/>
      <c r="AP72" s="225"/>
    </row>
    <row r="73">
      <c r="A73" s="208"/>
      <c r="B73" s="208"/>
      <c r="C73" s="208"/>
      <c r="D73" s="213"/>
      <c r="E73" s="213"/>
      <c r="F73" s="213"/>
      <c r="G73" s="203"/>
      <c r="H73" s="203"/>
      <c r="I73" s="203"/>
      <c r="J73" s="210"/>
      <c r="K73" s="210"/>
      <c r="L73" s="210"/>
      <c r="M73" s="181"/>
      <c r="N73" s="181"/>
      <c r="O73" s="181"/>
      <c r="P73" s="217"/>
      <c r="Q73" s="217"/>
      <c r="R73" s="217"/>
      <c r="S73" s="230"/>
      <c r="T73" s="230"/>
      <c r="U73" s="230"/>
      <c r="V73" s="208"/>
      <c r="W73" s="208"/>
      <c r="X73" s="208"/>
      <c r="Y73" s="213"/>
      <c r="Z73" s="213"/>
      <c r="AA73" s="213"/>
      <c r="AB73" s="203"/>
      <c r="AC73" s="203"/>
      <c r="AD73" s="203"/>
      <c r="AE73" s="210"/>
      <c r="AF73" s="210"/>
      <c r="AG73" s="210"/>
      <c r="AH73" s="181"/>
      <c r="AI73" s="181"/>
      <c r="AJ73" s="181"/>
      <c r="AK73" s="217"/>
      <c r="AL73" s="217"/>
      <c r="AM73" s="217"/>
      <c r="AN73" s="225"/>
      <c r="AO73" s="224"/>
      <c r="AP73" s="225"/>
    </row>
    <row r="74">
      <c r="A74" s="208"/>
      <c r="B74" s="208"/>
      <c r="C74" s="208"/>
      <c r="D74" s="213"/>
      <c r="E74" s="213"/>
      <c r="F74" s="213"/>
      <c r="G74" s="203"/>
      <c r="H74" s="203"/>
      <c r="I74" s="203"/>
      <c r="J74" s="210"/>
      <c r="K74" s="210"/>
      <c r="L74" s="210"/>
      <c r="M74" s="181"/>
      <c r="N74" s="181"/>
      <c r="O74" s="181"/>
      <c r="P74" s="217"/>
      <c r="Q74" s="217"/>
      <c r="R74" s="217"/>
      <c r="S74" s="230"/>
      <c r="T74" s="230"/>
      <c r="U74" s="230"/>
      <c r="V74" s="208"/>
      <c r="W74" s="208"/>
      <c r="X74" s="208"/>
      <c r="Y74" s="213"/>
      <c r="Z74" s="213"/>
      <c r="AA74" s="213"/>
      <c r="AB74" s="203"/>
      <c r="AC74" s="203"/>
      <c r="AD74" s="203"/>
      <c r="AE74" s="210"/>
      <c r="AF74" s="210"/>
      <c r="AG74" s="210"/>
      <c r="AH74" s="181"/>
      <c r="AI74" s="181"/>
      <c r="AJ74" s="181"/>
      <c r="AK74" s="217"/>
      <c r="AL74" s="217"/>
      <c r="AM74" s="217"/>
      <c r="AN74" s="225"/>
      <c r="AO74" s="224"/>
      <c r="AP74" s="225"/>
    </row>
    <row r="75">
      <c r="A75" s="208"/>
      <c r="B75" s="208"/>
      <c r="C75" s="208"/>
      <c r="D75" s="213"/>
      <c r="E75" s="213"/>
      <c r="F75" s="213"/>
      <c r="G75" s="203"/>
      <c r="H75" s="203"/>
      <c r="I75" s="203"/>
      <c r="J75" s="210"/>
      <c r="K75" s="210"/>
      <c r="L75" s="210"/>
      <c r="M75" s="181"/>
      <c r="N75" s="181"/>
      <c r="O75" s="181"/>
      <c r="P75" s="217"/>
      <c r="Q75" s="217"/>
      <c r="R75" s="217"/>
      <c r="S75" s="230"/>
      <c r="T75" s="230"/>
      <c r="U75" s="230"/>
      <c r="V75" s="208"/>
      <c r="W75" s="208"/>
      <c r="X75" s="208"/>
      <c r="Y75" s="213"/>
      <c r="Z75" s="213"/>
      <c r="AA75" s="213"/>
      <c r="AB75" s="203"/>
      <c r="AC75" s="203"/>
      <c r="AD75" s="203"/>
      <c r="AE75" s="210"/>
      <c r="AF75" s="210"/>
      <c r="AG75" s="210"/>
      <c r="AH75" s="181"/>
      <c r="AI75" s="181"/>
      <c r="AJ75" s="181"/>
      <c r="AK75" s="217"/>
      <c r="AL75" s="217"/>
      <c r="AM75" s="217"/>
      <c r="AN75" s="225"/>
      <c r="AO75" s="224"/>
      <c r="AP75" s="225"/>
    </row>
    <row r="76">
      <c r="A76" s="208"/>
      <c r="B76" s="208"/>
      <c r="C76" s="208"/>
      <c r="D76" s="213"/>
      <c r="E76" s="213"/>
      <c r="F76" s="213"/>
      <c r="G76" s="203"/>
      <c r="H76" s="203"/>
      <c r="I76" s="203"/>
      <c r="J76" s="210"/>
      <c r="K76" s="210"/>
      <c r="L76" s="210"/>
      <c r="M76" s="181"/>
      <c r="N76" s="181"/>
      <c r="O76" s="181"/>
      <c r="P76" s="217"/>
      <c r="Q76" s="217"/>
      <c r="R76" s="217"/>
      <c r="S76" s="230"/>
      <c r="T76" s="230"/>
      <c r="U76" s="230"/>
      <c r="V76" s="208"/>
      <c r="W76" s="208"/>
      <c r="X76" s="208"/>
      <c r="Y76" s="213"/>
      <c r="Z76" s="213"/>
      <c r="AA76" s="213"/>
      <c r="AB76" s="203"/>
      <c r="AC76" s="203"/>
      <c r="AD76" s="203"/>
      <c r="AE76" s="210"/>
      <c r="AF76" s="210"/>
      <c r="AG76" s="210"/>
      <c r="AH76" s="181"/>
      <c r="AI76" s="181"/>
      <c r="AJ76" s="181"/>
      <c r="AK76" s="217"/>
      <c r="AL76" s="217"/>
      <c r="AM76" s="217"/>
      <c r="AN76" s="225"/>
      <c r="AO76" s="224"/>
      <c r="AP76" s="225"/>
    </row>
    <row r="77">
      <c r="A77" s="208"/>
      <c r="B77" s="208"/>
      <c r="C77" s="208"/>
      <c r="D77" s="213"/>
      <c r="E77" s="213"/>
      <c r="F77" s="213"/>
      <c r="G77" s="203"/>
      <c r="H77" s="203"/>
      <c r="I77" s="203"/>
      <c r="J77" s="210"/>
      <c r="K77" s="210"/>
      <c r="L77" s="210"/>
      <c r="M77" s="181"/>
      <c r="N77" s="181"/>
      <c r="O77" s="181"/>
      <c r="P77" s="217"/>
      <c r="Q77" s="217"/>
      <c r="R77" s="217"/>
      <c r="S77" s="230"/>
      <c r="T77" s="230"/>
      <c r="U77" s="230"/>
      <c r="V77" s="208"/>
      <c r="W77" s="208"/>
      <c r="X77" s="208"/>
      <c r="Y77" s="213"/>
      <c r="Z77" s="213"/>
      <c r="AA77" s="213"/>
      <c r="AB77" s="203"/>
      <c r="AC77" s="203"/>
      <c r="AD77" s="203"/>
      <c r="AE77" s="210"/>
      <c r="AF77" s="210"/>
      <c r="AG77" s="210"/>
      <c r="AH77" s="181"/>
      <c r="AI77" s="181"/>
      <c r="AJ77" s="181"/>
      <c r="AK77" s="217"/>
      <c r="AL77" s="217"/>
      <c r="AM77" s="217"/>
      <c r="AN77" s="225"/>
      <c r="AO77" s="224"/>
      <c r="AP77" s="2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1.88"/>
    <col customWidth="1" min="2" max="2" width="12.5"/>
    <col customWidth="1" min="3" max="68" width="11.88"/>
  </cols>
  <sheetData>
    <row r="1">
      <c r="A1" s="236" t="s">
        <v>0</v>
      </c>
      <c r="B1" s="237" t="s">
        <v>132</v>
      </c>
      <c r="C1" s="236" t="s">
        <v>133</v>
      </c>
      <c r="D1" s="236" t="s">
        <v>4</v>
      </c>
      <c r="E1" s="236" t="s">
        <v>134</v>
      </c>
      <c r="F1" s="236" t="s">
        <v>4</v>
      </c>
      <c r="G1" s="237" t="s">
        <v>135</v>
      </c>
      <c r="H1" s="236" t="s">
        <v>136</v>
      </c>
      <c r="I1" s="236" t="s">
        <v>4</v>
      </c>
      <c r="J1" s="237" t="s">
        <v>135</v>
      </c>
      <c r="K1" s="236" t="s">
        <v>137</v>
      </c>
      <c r="L1" s="236" t="s">
        <v>138</v>
      </c>
      <c r="M1" s="237" t="s">
        <v>135</v>
      </c>
      <c r="N1" s="238">
        <v>45247.0</v>
      </c>
      <c r="O1" s="237" t="s">
        <v>4</v>
      </c>
      <c r="P1" s="237" t="s">
        <v>135</v>
      </c>
      <c r="Q1" s="239">
        <v>45254.0</v>
      </c>
      <c r="R1" s="240" t="s">
        <v>4</v>
      </c>
      <c r="S1" s="240" t="s">
        <v>135</v>
      </c>
      <c r="T1" s="241">
        <v>45261.0</v>
      </c>
      <c r="U1" s="240" t="s">
        <v>4</v>
      </c>
      <c r="V1" s="240" t="s">
        <v>135</v>
      </c>
      <c r="W1" s="241">
        <v>45268.0</v>
      </c>
      <c r="X1" s="240" t="s">
        <v>4</v>
      </c>
      <c r="Y1" s="240" t="s">
        <v>135</v>
      </c>
      <c r="Z1" s="242">
        <v>45275.0</v>
      </c>
      <c r="AA1" s="240" t="s">
        <v>4</v>
      </c>
      <c r="AB1" s="240" t="s">
        <v>135</v>
      </c>
      <c r="AC1" s="242"/>
      <c r="AD1" s="240"/>
      <c r="AE1" s="240"/>
      <c r="AF1" s="242"/>
      <c r="AG1" s="240"/>
      <c r="AH1" s="240"/>
      <c r="AI1" s="243"/>
      <c r="AJ1" s="243"/>
      <c r="AK1" s="243"/>
      <c r="AL1" s="243"/>
      <c r="AM1" s="243"/>
      <c r="AN1" s="243"/>
      <c r="AO1" s="243"/>
      <c r="AP1" s="243"/>
      <c r="AQ1" s="243"/>
      <c r="AR1" s="243"/>
      <c r="AS1" s="243"/>
      <c r="AT1" s="243"/>
      <c r="AU1" s="243"/>
      <c r="AV1" s="243"/>
      <c r="AW1" s="243"/>
      <c r="AX1" s="243"/>
      <c r="AY1" s="243"/>
      <c r="AZ1" s="243"/>
      <c r="BA1" s="243"/>
      <c r="BB1" s="243"/>
      <c r="BC1" s="243"/>
      <c r="BD1" s="243"/>
      <c r="BE1" s="243"/>
      <c r="BF1" s="243"/>
      <c r="BG1" s="243"/>
      <c r="BH1" s="243"/>
      <c r="BI1" s="243"/>
      <c r="BJ1" s="243"/>
      <c r="BK1" s="243"/>
      <c r="BL1" s="243"/>
      <c r="BM1" s="243"/>
      <c r="BN1" s="243"/>
      <c r="BO1" s="243"/>
      <c r="BP1" s="243"/>
    </row>
    <row r="2">
      <c r="A2" s="244" t="s">
        <v>139</v>
      </c>
      <c r="B2" s="245">
        <f t="shared" ref="B2:B20" si="1">(MIN(C2,E2,H2,K2,N2,Q2,T2,W2,Z2,AC2,AF2))</f>
        <v>5.26</v>
      </c>
      <c r="C2" s="246"/>
      <c r="D2" s="247"/>
      <c r="E2" s="246"/>
      <c r="G2" s="247"/>
      <c r="H2" s="248"/>
      <c r="J2" s="244"/>
      <c r="K2" s="243"/>
      <c r="M2" s="249"/>
      <c r="N2" s="243">
        <v>5.26</v>
      </c>
      <c r="O2" s="243" t="s">
        <v>140</v>
      </c>
      <c r="P2" s="250">
        <f t="shared" ref="P2:P20" si="2">IF(N2&gt;0, N2 - MIN(C2,E2,H2,K2), 0)</f>
        <v>5.26</v>
      </c>
      <c r="Q2" s="251"/>
      <c r="R2" s="243" t="s">
        <v>141</v>
      </c>
      <c r="S2" s="252">
        <f t="shared" ref="S2:S20" si="3">IF(Q2&gt;0, Q2 - MIN(C2,E2,H2,K2,N2), 0)</f>
        <v>0</v>
      </c>
      <c r="U2" s="243" t="s">
        <v>141</v>
      </c>
      <c r="V2" s="252">
        <f t="shared" ref="V2:V20" si="4">IF(T2&gt;0, T2 - MIN(C2,E2,H2,K2,N2,Q2), 0)</f>
        <v>0</v>
      </c>
      <c r="W2" s="243">
        <v>5.83</v>
      </c>
      <c r="Y2" s="253">
        <f t="shared" ref="Y2:Y20" si="5">IF(W2&gt;0, W2 - MIN(C2,E2,H2,K2,N2,Q2,T2), 0)</f>
        <v>0.57</v>
      </c>
      <c r="AA2" s="243" t="s">
        <v>141</v>
      </c>
      <c r="AB2" s="252">
        <f t="shared" ref="AB2:AB20" si="6">IF(Z2&gt;0, Z2 - MIN(C2,E2,H2,K2,N2,Q2,T2,W2), 0)</f>
        <v>0</v>
      </c>
      <c r="AF2" s="254"/>
      <c r="AH2" s="252"/>
      <c r="AI2" s="255"/>
      <c r="AJ2" s="255"/>
      <c r="AK2" s="255"/>
      <c r="AL2" s="255"/>
      <c r="AM2" s="255"/>
      <c r="AN2" s="255"/>
      <c r="AO2" s="255"/>
      <c r="AP2" s="255"/>
      <c r="AQ2" s="255"/>
      <c r="AR2" s="255"/>
      <c r="AS2" s="255"/>
      <c r="AT2" s="255"/>
      <c r="AU2" s="255"/>
      <c r="AV2" s="255"/>
      <c r="AW2" s="255"/>
      <c r="AX2" s="255"/>
      <c r="AY2" s="255"/>
      <c r="AZ2" s="255"/>
      <c r="BA2" s="255"/>
      <c r="BB2" s="255"/>
      <c r="BC2" s="255"/>
      <c r="BD2" s="255"/>
      <c r="BE2" s="255"/>
      <c r="BF2" s="255"/>
      <c r="BG2" s="255"/>
      <c r="BH2" s="255"/>
      <c r="BI2" s="255"/>
      <c r="BJ2" s="255"/>
      <c r="BK2" s="255"/>
      <c r="BL2" s="255"/>
      <c r="BM2" s="255"/>
      <c r="BN2" s="255"/>
      <c r="BO2" s="255"/>
      <c r="BP2" s="255"/>
    </row>
    <row r="3">
      <c r="A3" s="247" t="s">
        <v>142</v>
      </c>
      <c r="B3" s="245">
        <f t="shared" si="1"/>
        <v>5.45</v>
      </c>
      <c r="C3" s="246"/>
      <c r="D3" s="247"/>
      <c r="E3" s="246">
        <v>5.75</v>
      </c>
      <c r="G3" s="247"/>
      <c r="H3" s="248">
        <v>5.6</v>
      </c>
      <c r="J3" s="256">
        <f t="shared" ref="J3:J20" si="7">IF(H3&gt;0, H3 - IF(MIN(C3,E3)&gt;0,MIN(C3,E3),H3), 0)</f>
        <v>-0.15</v>
      </c>
      <c r="M3" s="249">
        <f t="shared" ref="M3:M20" si="8">IF(K3&gt;0, K3 - MIN(C3,E3,H3), 0)</f>
        <v>0</v>
      </c>
      <c r="N3" s="243">
        <v>5.54</v>
      </c>
      <c r="P3" s="253">
        <f t="shared" si="2"/>
        <v>-0.06</v>
      </c>
      <c r="Q3" s="243">
        <v>5.85</v>
      </c>
      <c r="S3" s="257">
        <f t="shared" si="3"/>
        <v>0.31</v>
      </c>
      <c r="T3" s="243">
        <v>5.45</v>
      </c>
      <c r="V3" s="257">
        <f t="shared" si="4"/>
        <v>-0.09</v>
      </c>
      <c r="W3" s="243">
        <v>5.56</v>
      </c>
      <c r="Y3" s="253">
        <f t="shared" si="5"/>
        <v>0.11</v>
      </c>
      <c r="AA3" s="243" t="s">
        <v>26</v>
      </c>
      <c r="AB3" s="252">
        <f t="shared" si="6"/>
        <v>0</v>
      </c>
      <c r="AF3" s="254"/>
      <c r="AH3" s="252"/>
      <c r="AI3" s="255"/>
      <c r="AJ3" s="255"/>
      <c r="AK3" s="255"/>
      <c r="AL3" s="255"/>
      <c r="AM3" s="255"/>
      <c r="AN3" s="255"/>
      <c r="AO3" s="255"/>
      <c r="AP3" s="255"/>
      <c r="AQ3" s="255"/>
      <c r="AR3" s="255"/>
      <c r="AS3" s="255"/>
      <c r="AT3" s="255"/>
      <c r="AU3" s="255"/>
      <c r="AV3" s="255"/>
      <c r="AW3" s="255"/>
      <c r="AX3" s="255"/>
      <c r="AY3" s="255"/>
      <c r="AZ3" s="255"/>
      <c r="BA3" s="255"/>
      <c r="BB3" s="255"/>
      <c r="BC3" s="255"/>
      <c r="BD3" s="255"/>
      <c r="BE3" s="255"/>
      <c r="BF3" s="255"/>
      <c r="BG3" s="255"/>
      <c r="BH3" s="255"/>
      <c r="BI3" s="255"/>
      <c r="BJ3" s="255"/>
      <c r="BK3" s="255"/>
      <c r="BL3" s="255"/>
      <c r="BM3" s="255"/>
      <c r="BN3" s="255"/>
      <c r="BO3" s="255"/>
      <c r="BP3" s="255"/>
    </row>
    <row r="4">
      <c r="A4" s="244" t="s">
        <v>143</v>
      </c>
      <c r="B4" s="245">
        <f t="shared" si="1"/>
        <v>6.14</v>
      </c>
      <c r="C4" s="258"/>
      <c r="D4" s="247"/>
      <c r="E4" s="258"/>
      <c r="G4" s="247"/>
      <c r="H4" s="248">
        <v>6.24</v>
      </c>
      <c r="I4" s="243" t="s">
        <v>110</v>
      </c>
      <c r="J4" s="256">
        <f t="shared" si="7"/>
        <v>0</v>
      </c>
      <c r="K4" s="243">
        <v>6.14</v>
      </c>
      <c r="M4" s="259">
        <f t="shared" si="8"/>
        <v>-0.1</v>
      </c>
      <c r="N4" s="243">
        <v>6.45</v>
      </c>
      <c r="O4" s="243" t="s">
        <v>140</v>
      </c>
      <c r="P4" s="253">
        <f t="shared" si="2"/>
        <v>0.31</v>
      </c>
      <c r="Q4" s="243">
        <v>6.53</v>
      </c>
      <c r="R4" s="243" t="s">
        <v>140</v>
      </c>
      <c r="S4" s="257">
        <f t="shared" si="3"/>
        <v>0.39</v>
      </c>
      <c r="U4" s="243" t="s">
        <v>144</v>
      </c>
      <c r="V4" s="252">
        <f t="shared" si="4"/>
        <v>0</v>
      </c>
      <c r="X4" s="243" t="s">
        <v>26</v>
      </c>
      <c r="Y4" s="247">
        <f t="shared" si="5"/>
        <v>0</v>
      </c>
      <c r="AA4" s="243" t="s">
        <v>26</v>
      </c>
      <c r="AB4" s="252">
        <f t="shared" si="6"/>
        <v>0</v>
      </c>
      <c r="AF4" s="260"/>
      <c r="AH4" s="252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5"/>
      <c r="AX4" s="255"/>
      <c r="AY4" s="255"/>
      <c r="AZ4" s="255"/>
      <c r="BA4" s="255"/>
      <c r="BB4" s="255"/>
      <c r="BC4" s="255"/>
      <c r="BD4" s="255"/>
      <c r="BE4" s="255"/>
      <c r="BF4" s="255"/>
      <c r="BG4" s="255"/>
      <c r="BH4" s="255"/>
      <c r="BI4" s="255"/>
      <c r="BJ4" s="255"/>
      <c r="BK4" s="255"/>
      <c r="BL4" s="255"/>
      <c r="BM4" s="255"/>
      <c r="BN4" s="255"/>
      <c r="BO4" s="255"/>
      <c r="BP4" s="255"/>
    </row>
    <row r="5">
      <c r="A5" s="247" t="s">
        <v>145</v>
      </c>
      <c r="B5" s="245">
        <f t="shared" si="1"/>
        <v>6.03</v>
      </c>
      <c r="C5" s="246">
        <v>7.76</v>
      </c>
      <c r="D5" s="247"/>
      <c r="E5" s="246"/>
      <c r="G5" s="247"/>
      <c r="H5" s="248">
        <v>7.26</v>
      </c>
      <c r="J5" s="256">
        <f t="shared" si="7"/>
        <v>-0.5</v>
      </c>
      <c r="K5" s="243">
        <v>6.14</v>
      </c>
      <c r="M5" s="259">
        <f t="shared" si="8"/>
        <v>-1.12</v>
      </c>
      <c r="N5" s="243">
        <v>6.81</v>
      </c>
      <c r="O5" s="243" t="s">
        <v>140</v>
      </c>
      <c r="P5" s="253">
        <f t="shared" si="2"/>
        <v>0.67</v>
      </c>
      <c r="Q5" s="243">
        <v>6.6</v>
      </c>
      <c r="S5" s="257">
        <f t="shared" si="3"/>
        <v>0.46</v>
      </c>
      <c r="T5" s="243">
        <v>6.79</v>
      </c>
      <c r="U5" s="243" t="s">
        <v>140</v>
      </c>
      <c r="V5" s="257">
        <f t="shared" si="4"/>
        <v>0.65</v>
      </c>
      <c r="W5" s="243">
        <v>7.75</v>
      </c>
      <c r="X5" s="243" t="s">
        <v>140</v>
      </c>
      <c r="Y5" s="253">
        <f t="shared" si="5"/>
        <v>1.61</v>
      </c>
      <c r="Z5" s="243">
        <v>6.03</v>
      </c>
      <c r="AB5" s="257">
        <f t="shared" si="6"/>
        <v>-0.11</v>
      </c>
      <c r="AF5" s="254"/>
      <c r="AH5" s="252"/>
      <c r="AI5" s="255"/>
      <c r="AJ5" s="255"/>
      <c r="AK5" s="255"/>
      <c r="AL5" s="255"/>
      <c r="AM5" s="255"/>
      <c r="AN5" s="255"/>
      <c r="AO5" s="255"/>
      <c r="AP5" s="255"/>
      <c r="AQ5" s="255"/>
      <c r="AR5" s="255"/>
      <c r="AS5" s="255"/>
      <c r="AT5" s="255"/>
      <c r="AU5" s="255"/>
      <c r="AV5" s="255"/>
      <c r="AW5" s="255"/>
      <c r="AX5" s="255"/>
      <c r="AY5" s="255"/>
      <c r="AZ5" s="255"/>
      <c r="BA5" s="255"/>
      <c r="BB5" s="255"/>
      <c r="BC5" s="255"/>
      <c r="BD5" s="255"/>
      <c r="BE5" s="255"/>
      <c r="BF5" s="255"/>
      <c r="BG5" s="255"/>
      <c r="BH5" s="255"/>
      <c r="BI5" s="255"/>
      <c r="BJ5" s="255"/>
      <c r="BK5" s="255"/>
      <c r="BL5" s="255"/>
      <c r="BM5" s="255"/>
      <c r="BN5" s="255"/>
      <c r="BO5" s="255"/>
      <c r="BP5" s="255"/>
    </row>
    <row r="6">
      <c r="A6" s="247" t="s">
        <v>146</v>
      </c>
      <c r="B6" s="245">
        <f t="shared" si="1"/>
        <v>6.35</v>
      </c>
      <c r="C6" s="246">
        <v>7.66</v>
      </c>
      <c r="D6" s="247" t="s">
        <v>140</v>
      </c>
      <c r="E6" s="246"/>
      <c r="G6" s="247"/>
      <c r="H6" s="250"/>
      <c r="J6" s="244">
        <f t="shared" si="7"/>
        <v>0</v>
      </c>
      <c r="M6" s="249">
        <f t="shared" si="8"/>
        <v>0</v>
      </c>
      <c r="O6" s="243" t="s">
        <v>147</v>
      </c>
      <c r="P6" s="247">
        <f t="shared" si="2"/>
        <v>0</v>
      </c>
      <c r="R6" s="243" t="s">
        <v>148</v>
      </c>
      <c r="S6" s="252">
        <f t="shared" si="3"/>
        <v>0</v>
      </c>
      <c r="U6" s="243" t="s">
        <v>26</v>
      </c>
      <c r="V6" s="252">
        <f t="shared" si="4"/>
        <v>0</v>
      </c>
      <c r="X6" s="243" t="s">
        <v>26</v>
      </c>
      <c r="Y6" s="247">
        <f t="shared" si="5"/>
        <v>0</v>
      </c>
      <c r="Z6" s="243">
        <v>6.35</v>
      </c>
      <c r="AB6" s="257">
        <f t="shared" si="6"/>
        <v>-1.31</v>
      </c>
      <c r="AF6" s="254"/>
      <c r="AH6" s="252"/>
      <c r="AI6" s="255"/>
      <c r="AJ6" s="255"/>
      <c r="AK6" s="255"/>
      <c r="AL6" s="255"/>
      <c r="AM6" s="255"/>
      <c r="AN6" s="255"/>
      <c r="AO6" s="255"/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5"/>
      <c r="BA6" s="255"/>
      <c r="BB6" s="255"/>
      <c r="BC6" s="255"/>
      <c r="BD6" s="255"/>
      <c r="BE6" s="255"/>
      <c r="BF6" s="255"/>
      <c r="BG6" s="255"/>
      <c r="BH6" s="255"/>
      <c r="BI6" s="255"/>
      <c r="BJ6" s="255"/>
      <c r="BK6" s="255"/>
      <c r="BL6" s="255"/>
      <c r="BM6" s="255"/>
      <c r="BN6" s="255"/>
      <c r="BO6" s="255"/>
      <c r="BP6" s="255"/>
    </row>
    <row r="7" ht="18.75" customHeight="1">
      <c r="A7" s="247" t="s">
        <v>149</v>
      </c>
      <c r="B7" s="245">
        <f t="shared" si="1"/>
        <v>6.43</v>
      </c>
      <c r="C7" s="246">
        <v>10.97</v>
      </c>
      <c r="D7" s="247"/>
      <c r="E7" s="246">
        <v>11.69</v>
      </c>
      <c r="F7" s="261" t="s">
        <v>110</v>
      </c>
      <c r="G7" s="247">
        <v>0.72</v>
      </c>
      <c r="H7" s="248">
        <v>7.61</v>
      </c>
      <c r="J7" s="256">
        <f t="shared" si="7"/>
        <v>-3.36</v>
      </c>
      <c r="M7" s="249">
        <f t="shared" si="8"/>
        <v>0</v>
      </c>
      <c r="N7" s="243">
        <v>8.06</v>
      </c>
      <c r="O7" s="243" t="s">
        <v>140</v>
      </c>
      <c r="P7" s="253">
        <f t="shared" si="2"/>
        <v>0.45</v>
      </c>
      <c r="R7" s="243" t="s">
        <v>147</v>
      </c>
      <c r="S7" s="252">
        <f t="shared" si="3"/>
        <v>0</v>
      </c>
      <c r="T7" s="243">
        <v>8.05</v>
      </c>
      <c r="U7" s="243" t="s">
        <v>25</v>
      </c>
      <c r="V7" s="257">
        <f t="shared" si="4"/>
        <v>0.44</v>
      </c>
      <c r="X7" s="243" t="s">
        <v>26</v>
      </c>
      <c r="Y7" s="247">
        <f t="shared" si="5"/>
        <v>0</v>
      </c>
      <c r="Z7" s="243">
        <v>6.43</v>
      </c>
      <c r="AB7" s="257">
        <f t="shared" si="6"/>
        <v>-1.18</v>
      </c>
      <c r="AF7" s="254"/>
      <c r="AH7" s="252"/>
      <c r="AI7" s="255"/>
      <c r="AJ7" s="255"/>
      <c r="AK7" s="255"/>
      <c r="AL7" s="255"/>
      <c r="AM7" s="255"/>
      <c r="AN7" s="255"/>
      <c r="AO7" s="255"/>
      <c r="AP7" s="255"/>
      <c r="AQ7" s="255"/>
      <c r="AR7" s="255"/>
      <c r="AS7" s="255"/>
      <c r="AT7" s="255"/>
      <c r="AU7" s="255"/>
      <c r="AV7" s="255"/>
      <c r="AW7" s="255"/>
      <c r="AX7" s="255"/>
      <c r="AY7" s="255"/>
      <c r="AZ7" s="255"/>
      <c r="BA7" s="255"/>
      <c r="BB7" s="255"/>
      <c r="BC7" s="255"/>
      <c r="BD7" s="255"/>
      <c r="BE7" s="255"/>
      <c r="BF7" s="255"/>
      <c r="BG7" s="255"/>
      <c r="BH7" s="255"/>
      <c r="BI7" s="255"/>
      <c r="BJ7" s="255"/>
      <c r="BK7" s="255"/>
      <c r="BL7" s="255"/>
      <c r="BM7" s="255"/>
      <c r="BN7" s="255"/>
      <c r="BO7" s="255"/>
      <c r="BP7" s="255"/>
    </row>
    <row r="8" ht="18.75" customHeight="1">
      <c r="A8" s="247" t="s">
        <v>150</v>
      </c>
      <c r="B8" s="245">
        <f t="shared" si="1"/>
        <v>6.47</v>
      </c>
      <c r="C8" s="246">
        <v>6.47</v>
      </c>
      <c r="D8" s="247"/>
      <c r="E8" s="246">
        <v>7.6</v>
      </c>
      <c r="F8" s="243" t="s">
        <v>151</v>
      </c>
      <c r="G8" s="247">
        <v>1.13</v>
      </c>
      <c r="H8" s="248">
        <v>7.55</v>
      </c>
      <c r="J8" s="256">
        <f t="shared" si="7"/>
        <v>1.08</v>
      </c>
      <c r="K8" s="243">
        <v>7.02</v>
      </c>
      <c r="M8" s="259">
        <f t="shared" si="8"/>
        <v>0.55</v>
      </c>
      <c r="O8" s="243" t="s">
        <v>147</v>
      </c>
      <c r="P8" s="247">
        <f t="shared" si="2"/>
        <v>0</v>
      </c>
      <c r="Q8" s="243">
        <v>7.48</v>
      </c>
      <c r="S8" s="257">
        <f t="shared" si="3"/>
        <v>1.01</v>
      </c>
      <c r="T8" s="243">
        <v>7.9</v>
      </c>
      <c r="U8" s="243" t="s">
        <v>25</v>
      </c>
      <c r="V8" s="257">
        <f t="shared" si="4"/>
        <v>1.43</v>
      </c>
      <c r="W8" s="243">
        <v>7.6</v>
      </c>
      <c r="X8" s="243" t="s">
        <v>140</v>
      </c>
      <c r="Y8" s="253">
        <f t="shared" si="5"/>
        <v>1.13</v>
      </c>
      <c r="Z8" s="243">
        <v>14.0</v>
      </c>
      <c r="AA8" s="243" t="s">
        <v>152</v>
      </c>
      <c r="AB8" s="257">
        <f t="shared" si="6"/>
        <v>7.53</v>
      </c>
      <c r="AF8" s="254"/>
      <c r="AH8" s="252"/>
      <c r="AI8" s="255"/>
      <c r="AJ8" s="255"/>
      <c r="AK8" s="255"/>
      <c r="AL8" s="255"/>
      <c r="AM8" s="255"/>
      <c r="AN8" s="255"/>
      <c r="AO8" s="255"/>
      <c r="AP8" s="255"/>
      <c r="AQ8" s="255"/>
      <c r="AR8" s="255"/>
      <c r="AS8" s="255"/>
      <c r="AT8" s="255"/>
      <c r="AU8" s="255"/>
      <c r="AV8" s="255"/>
      <c r="AW8" s="255"/>
      <c r="AX8" s="255"/>
      <c r="AY8" s="255"/>
      <c r="AZ8" s="255"/>
      <c r="BA8" s="255"/>
      <c r="BB8" s="255"/>
      <c r="BC8" s="255"/>
      <c r="BD8" s="255"/>
      <c r="BE8" s="255"/>
      <c r="BF8" s="255"/>
      <c r="BG8" s="255"/>
      <c r="BH8" s="255"/>
      <c r="BI8" s="255"/>
      <c r="BJ8" s="255"/>
      <c r="BK8" s="255"/>
      <c r="BL8" s="255"/>
      <c r="BM8" s="255"/>
      <c r="BN8" s="255"/>
      <c r="BO8" s="255"/>
      <c r="BP8" s="255"/>
    </row>
    <row r="9">
      <c r="A9" s="247" t="s">
        <v>153</v>
      </c>
      <c r="B9" s="245">
        <f t="shared" si="1"/>
        <v>6.86</v>
      </c>
      <c r="C9" s="246">
        <v>7.02</v>
      </c>
      <c r="D9" s="247"/>
      <c r="E9" s="246"/>
      <c r="G9" s="247"/>
      <c r="H9" s="248">
        <v>6.86</v>
      </c>
      <c r="I9" s="243" t="s">
        <v>110</v>
      </c>
      <c r="J9" s="256">
        <f t="shared" si="7"/>
        <v>-0.16</v>
      </c>
      <c r="K9" s="243">
        <v>7.01</v>
      </c>
      <c r="M9" s="259">
        <f t="shared" si="8"/>
        <v>0.15</v>
      </c>
      <c r="N9" s="243">
        <v>6.89</v>
      </c>
      <c r="O9" s="243"/>
      <c r="P9" s="253">
        <f t="shared" si="2"/>
        <v>0.03</v>
      </c>
      <c r="Q9" s="243">
        <v>9.13</v>
      </c>
      <c r="R9" s="243" t="s">
        <v>92</v>
      </c>
      <c r="S9" s="257">
        <f t="shared" si="3"/>
        <v>2.27</v>
      </c>
      <c r="T9" s="243">
        <v>7.15</v>
      </c>
      <c r="U9" s="243" t="s">
        <v>25</v>
      </c>
      <c r="V9" s="257">
        <f t="shared" si="4"/>
        <v>0.29</v>
      </c>
      <c r="W9" s="243">
        <v>8.46</v>
      </c>
      <c r="Y9" s="253">
        <f t="shared" si="5"/>
        <v>1.6</v>
      </c>
      <c r="Z9" s="243">
        <v>16.35</v>
      </c>
      <c r="AA9" s="243" t="s">
        <v>152</v>
      </c>
      <c r="AB9" s="257">
        <f t="shared" si="6"/>
        <v>9.49</v>
      </c>
      <c r="AF9" s="254"/>
      <c r="AH9" s="252"/>
      <c r="AI9" s="255"/>
      <c r="AJ9" s="255"/>
      <c r="AK9" s="255"/>
      <c r="AL9" s="255"/>
      <c r="AM9" s="255"/>
      <c r="AN9" s="255"/>
      <c r="AO9" s="255"/>
      <c r="AP9" s="255"/>
      <c r="AQ9" s="255"/>
      <c r="AR9" s="255"/>
      <c r="AS9" s="255"/>
      <c r="AT9" s="255"/>
      <c r="AU9" s="255"/>
      <c r="AV9" s="255"/>
      <c r="AW9" s="255"/>
      <c r="AX9" s="255"/>
      <c r="AY9" s="255"/>
      <c r="AZ9" s="255"/>
      <c r="BA9" s="255"/>
      <c r="BB9" s="255"/>
      <c r="BC9" s="255"/>
      <c r="BD9" s="255"/>
      <c r="BE9" s="255"/>
      <c r="BF9" s="255"/>
      <c r="BG9" s="255"/>
      <c r="BH9" s="255"/>
      <c r="BI9" s="255"/>
      <c r="BJ9" s="255"/>
      <c r="BK9" s="255"/>
      <c r="BL9" s="255"/>
      <c r="BM9" s="255"/>
      <c r="BN9" s="255"/>
      <c r="BO9" s="255"/>
      <c r="BP9" s="255"/>
    </row>
    <row r="10">
      <c r="A10" s="247" t="s">
        <v>154</v>
      </c>
      <c r="B10" s="245">
        <f t="shared" si="1"/>
        <v>7.18</v>
      </c>
      <c r="C10" s="246">
        <v>15.18</v>
      </c>
      <c r="D10" s="247"/>
      <c r="E10" s="246"/>
      <c r="G10" s="247"/>
      <c r="H10" s="250"/>
      <c r="J10" s="244">
        <f t="shared" si="7"/>
        <v>0</v>
      </c>
      <c r="M10" s="249">
        <f t="shared" si="8"/>
        <v>0</v>
      </c>
      <c r="N10" s="243">
        <v>11.24</v>
      </c>
      <c r="P10" s="253">
        <f t="shared" si="2"/>
        <v>-3.94</v>
      </c>
      <c r="Q10" s="243">
        <v>9.77</v>
      </c>
      <c r="S10" s="257">
        <f t="shared" si="3"/>
        <v>-1.47</v>
      </c>
      <c r="T10" s="243">
        <v>7.72</v>
      </c>
      <c r="U10" s="243" t="s">
        <v>92</v>
      </c>
      <c r="V10" s="257">
        <f t="shared" si="4"/>
        <v>-2.05</v>
      </c>
      <c r="W10" s="243">
        <v>8.6</v>
      </c>
      <c r="Y10" s="253">
        <f t="shared" si="5"/>
        <v>0.88</v>
      </c>
      <c r="Z10" s="243">
        <v>7.18</v>
      </c>
      <c r="AB10" s="257">
        <f t="shared" si="6"/>
        <v>-0.54</v>
      </c>
      <c r="AF10" s="260"/>
      <c r="AH10" s="252"/>
      <c r="AI10" s="255"/>
      <c r="AJ10" s="255"/>
      <c r="AK10" s="255"/>
      <c r="AL10" s="255"/>
      <c r="AM10" s="255"/>
      <c r="AN10" s="255"/>
      <c r="AO10" s="255"/>
      <c r="AP10" s="255"/>
      <c r="AQ10" s="255"/>
      <c r="AR10" s="255"/>
      <c r="AS10" s="255"/>
      <c r="AT10" s="255"/>
      <c r="AU10" s="255"/>
      <c r="AV10" s="255"/>
      <c r="AW10" s="255"/>
      <c r="AX10" s="255"/>
      <c r="AY10" s="255"/>
      <c r="AZ10" s="255"/>
      <c r="BA10" s="255"/>
      <c r="BB10" s="255"/>
      <c r="BC10" s="255"/>
      <c r="BD10" s="255"/>
      <c r="BE10" s="255"/>
      <c r="BF10" s="255"/>
      <c r="BG10" s="255"/>
      <c r="BH10" s="255"/>
      <c r="BI10" s="255"/>
      <c r="BJ10" s="255"/>
      <c r="BK10" s="255"/>
      <c r="BL10" s="255"/>
      <c r="BM10" s="255"/>
      <c r="BN10" s="255"/>
      <c r="BO10" s="255"/>
      <c r="BP10" s="255"/>
    </row>
    <row r="11">
      <c r="A11" s="247" t="s">
        <v>155</v>
      </c>
      <c r="B11" s="245">
        <f t="shared" si="1"/>
        <v>7.36</v>
      </c>
      <c r="C11" s="246">
        <v>10.9</v>
      </c>
      <c r="D11" s="247"/>
      <c r="E11" s="246">
        <v>8.4</v>
      </c>
      <c r="G11" s="247">
        <v>-2.5</v>
      </c>
      <c r="H11" s="248">
        <v>9.38</v>
      </c>
      <c r="J11" s="256">
        <f t="shared" si="7"/>
        <v>0.98</v>
      </c>
      <c r="K11" s="243">
        <v>7.36</v>
      </c>
      <c r="L11" s="243" t="s">
        <v>92</v>
      </c>
      <c r="M11" s="259">
        <f t="shared" si="8"/>
        <v>-1.04</v>
      </c>
      <c r="N11" s="243">
        <v>12.61</v>
      </c>
      <c r="O11" s="243" t="s">
        <v>156</v>
      </c>
      <c r="P11" s="253">
        <f t="shared" si="2"/>
        <v>5.25</v>
      </c>
      <c r="R11" s="243" t="s">
        <v>147</v>
      </c>
      <c r="S11" s="252">
        <f t="shared" si="3"/>
        <v>0</v>
      </c>
      <c r="T11" s="243">
        <v>8.51</v>
      </c>
      <c r="V11" s="257">
        <f t="shared" si="4"/>
        <v>1.15</v>
      </c>
      <c r="W11" s="243">
        <v>7.57</v>
      </c>
      <c r="Y11" s="253">
        <f t="shared" si="5"/>
        <v>0.21</v>
      </c>
      <c r="Z11" s="243">
        <v>8.55</v>
      </c>
      <c r="AB11" s="257">
        <f t="shared" si="6"/>
        <v>1.19</v>
      </c>
      <c r="AF11" s="260"/>
      <c r="AH11" s="252"/>
      <c r="AI11" s="255"/>
      <c r="AJ11" s="255"/>
      <c r="AK11" s="255"/>
      <c r="AL11" s="255"/>
      <c r="AM11" s="255"/>
      <c r="AN11" s="255"/>
      <c r="AO11" s="255"/>
      <c r="AP11" s="255"/>
      <c r="AQ11" s="255"/>
      <c r="AR11" s="255"/>
      <c r="AS11" s="255"/>
      <c r="AT11" s="255"/>
      <c r="AU11" s="255"/>
      <c r="AV11" s="255"/>
      <c r="AW11" s="255"/>
      <c r="AX11" s="255"/>
      <c r="AY11" s="255"/>
      <c r="AZ11" s="255"/>
      <c r="BA11" s="255"/>
      <c r="BB11" s="255"/>
      <c r="BC11" s="255"/>
      <c r="BD11" s="255"/>
      <c r="BE11" s="255"/>
      <c r="BF11" s="255"/>
      <c r="BG11" s="255"/>
      <c r="BH11" s="255"/>
      <c r="BI11" s="255"/>
      <c r="BJ11" s="255"/>
      <c r="BK11" s="255"/>
      <c r="BL11" s="255"/>
      <c r="BM11" s="255"/>
      <c r="BN11" s="255"/>
      <c r="BO11" s="255"/>
      <c r="BP11" s="255"/>
    </row>
    <row r="12">
      <c r="A12" s="247" t="s">
        <v>118</v>
      </c>
      <c r="B12" s="245">
        <f t="shared" si="1"/>
        <v>7.42</v>
      </c>
      <c r="C12" s="246">
        <v>9.52</v>
      </c>
      <c r="D12" s="247"/>
      <c r="E12" s="246"/>
      <c r="G12" s="247"/>
      <c r="H12" s="248">
        <v>14.1</v>
      </c>
      <c r="I12" s="243" t="s">
        <v>157</v>
      </c>
      <c r="J12" s="256">
        <f t="shared" si="7"/>
        <v>4.58</v>
      </c>
      <c r="M12" s="249">
        <f t="shared" si="8"/>
        <v>0</v>
      </c>
      <c r="N12" s="243">
        <v>10.25</v>
      </c>
      <c r="P12" s="253">
        <f t="shared" si="2"/>
        <v>0.73</v>
      </c>
      <c r="Q12" s="243">
        <v>8.25</v>
      </c>
      <c r="S12" s="257">
        <f t="shared" si="3"/>
        <v>-1.27</v>
      </c>
      <c r="T12" s="243">
        <v>8.31</v>
      </c>
      <c r="V12" s="257">
        <f t="shared" si="4"/>
        <v>0.06</v>
      </c>
      <c r="W12" s="243">
        <v>7.82</v>
      </c>
      <c r="Y12" s="253">
        <f t="shared" si="5"/>
        <v>-0.43</v>
      </c>
      <c r="Z12" s="243">
        <v>7.42</v>
      </c>
      <c r="AA12" s="243" t="s">
        <v>25</v>
      </c>
      <c r="AB12" s="257">
        <f t="shared" si="6"/>
        <v>-0.4</v>
      </c>
      <c r="AF12" s="254"/>
      <c r="AH12" s="252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255"/>
      <c r="AZ12" s="255"/>
      <c r="BA12" s="255"/>
      <c r="BB12" s="255"/>
      <c r="BC12" s="255"/>
      <c r="BD12" s="255"/>
      <c r="BE12" s="255"/>
      <c r="BF12" s="255"/>
      <c r="BG12" s="255"/>
      <c r="BH12" s="255"/>
      <c r="BI12" s="255"/>
      <c r="BJ12" s="255"/>
      <c r="BK12" s="255"/>
      <c r="BL12" s="255"/>
      <c r="BM12" s="255"/>
      <c r="BN12" s="255"/>
      <c r="BO12" s="255"/>
      <c r="BP12" s="255"/>
    </row>
    <row r="13">
      <c r="A13" s="247" t="s">
        <v>158</v>
      </c>
      <c r="B13" s="245">
        <f t="shared" si="1"/>
        <v>7.5</v>
      </c>
      <c r="C13" s="246">
        <v>9.14</v>
      </c>
      <c r="D13" s="247"/>
      <c r="E13" s="246"/>
      <c r="G13" s="247"/>
      <c r="H13" s="248">
        <v>8.61</v>
      </c>
      <c r="I13" s="243" t="s">
        <v>140</v>
      </c>
      <c r="J13" s="256">
        <f t="shared" si="7"/>
        <v>-0.53</v>
      </c>
      <c r="K13" s="243">
        <v>8.08</v>
      </c>
      <c r="M13" s="259">
        <f t="shared" si="8"/>
        <v>-0.53</v>
      </c>
      <c r="N13" s="243">
        <v>7.5</v>
      </c>
      <c r="P13" s="253">
        <f t="shared" si="2"/>
        <v>-0.58</v>
      </c>
      <c r="Q13" s="243">
        <v>7.5</v>
      </c>
      <c r="S13" s="257">
        <f t="shared" si="3"/>
        <v>0</v>
      </c>
      <c r="T13" s="243">
        <v>7.61</v>
      </c>
      <c r="V13" s="257">
        <f t="shared" si="4"/>
        <v>0.11</v>
      </c>
      <c r="W13" s="243">
        <v>7.59</v>
      </c>
      <c r="X13" s="243" t="s">
        <v>110</v>
      </c>
      <c r="Y13" s="253">
        <f t="shared" si="5"/>
        <v>0.09</v>
      </c>
      <c r="AA13" s="243" t="s">
        <v>92</v>
      </c>
      <c r="AB13" s="252">
        <f t="shared" si="6"/>
        <v>0</v>
      </c>
      <c r="AF13" s="260"/>
      <c r="AH13" s="252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  <c r="AX13" s="255"/>
      <c r="AY13" s="255"/>
      <c r="AZ13" s="255"/>
      <c r="BA13" s="255"/>
      <c r="BB13" s="255"/>
      <c r="BC13" s="255"/>
      <c r="BD13" s="255"/>
      <c r="BE13" s="255"/>
      <c r="BF13" s="255"/>
      <c r="BG13" s="255"/>
      <c r="BH13" s="255"/>
      <c r="BI13" s="255"/>
      <c r="BJ13" s="255"/>
      <c r="BK13" s="255"/>
      <c r="BL13" s="255"/>
      <c r="BM13" s="255"/>
      <c r="BN13" s="255"/>
      <c r="BO13" s="255"/>
      <c r="BP13" s="255"/>
    </row>
    <row r="14">
      <c r="A14" s="247" t="s">
        <v>159</v>
      </c>
      <c r="B14" s="245">
        <f t="shared" si="1"/>
        <v>7.72</v>
      </c>
      <c r="C14" s="246">
        <v>8.2</v>
      </c>
      <c r="D14" s="247" t="s">
        <v>140</v>
      </c>
      <c r="E14" s="246">
        <v>8.41</v>
      </c>
      <c r="F14" s="261" t="s">
        <v>140</v>
      </c>
      <c r="G14" s="247">
        <v>0.21</v>
      </c>
      <c r="H14" s="248">
        <v>9.8</v>
      </c>
      <c r="J14" s="256">
        <f t="shared" si="7"/>
        <v>1.6</v>
      </c>
      <c r="M14" s="249">
        <f t="shared" si="8"/>
        <v>0</v>
      </c>
      <c r="N14" s="243">
        <v>9.25</v>
      </c>
      <c r="P14" s="253">
        <f t="shared" si="2"/>
        <v>1.05</v>
      </c>
      <c r="Q14" s="243">
        <v>8.8</v>
      </c>
      <c r="S14" s="257">
        <f t="shared" si="3"/>
        <v>0.6</v>
      </c>
      <c r="T14" s="243">
        <v>9.44</v>
      </c>
      <c r="V14" s="257">
        <f t="shared" si="4"/>
        <v>1.24</v>
      </c>
      <c r="W14" s="243">
        <v>9.86</v>
      </c>
      <c r="X14" s="243"/>
      <c r="Y14" s="253">
        <f t="shared" si="5"/>
        <v>1.66</v>
      </c>
      <c r="Z14" s="243">
        <v>7.72</v>
      </c>
      <c r="AB14" s="257">
        <f t="shared" si="6"/>
        <v>-0.48</v>
      </c>
      <c r="AF14" s="254"/>
      <c r="AH14" s="252"/>
      <c r="AI14" s="255"/>
      <c r="AJ14" s="255"/>
      <c r="AK14" s="255"/>
      <c r="AL14" s="255"/>
      <c r="AM14" s="255"/>
      <c r="AN14" s="255"/>
      <c r="AO14" s="255"/>
      <c r="AP14" s="255"/>
      <c r="AQ14" s="255"/>
      <c r="AR14" s="255"/>
      <c r="AS14" s="255"/>
      <c r="AT14" s="255"/>
      <c r="AU14" s="255"/>
      <c r="AV14" s="255"/>
      <c r="AW14" s="255"/>
      <c r="AX14" s="255"/>
      <c r="AY14" s="255"/>
      <c r="AZ14" s="255"/>
      <c r="BA14" s="255"/>
      <c r="BB14" s="255"/>
      <c r="BC14" s="255"/>
      <c r="BD14" s="255"/>
      <c r="BE14" s="255"/>
      <c r="BF14" s="255"/>
      <c r="BG14" s="255"/>
      <c r="BH14" s="255"/>
      <c r="BI14" s="255"/>
      <c r="BJ14" s="255"/>
      <c r="BK14" s="255"/>
      <c r="BL14" s="255"/>
      <c r="BM14" s="255"/>
      <c r="BN14" s="255"/>
      <c r="BO14" s="255"/>
      <c r="BP14" s="255"/>
    </row>
    <row r="15">
      <c r="A15" s="247" t="s">
        <v>160</v>
      </c>
      <c r="B15" s="245">
        <f t="shared" si="1"/>
        <v>7.87</v>
      </c>
      <c r="C15" s="243"/>
      <c r="D15" s="247"/>
      <c r="E15" s="246">
        <v>16.75</v>
      </c>
      <c r="G15" s="247"/>
      <c r="H15" s="248">
        <v>15.94</v>
      </c>
      <c r="I15" s="243" t="s">
        <v>161</v>
      </c>
      <c r="J15" s="256">
        <f t="shared" si="7"/>
        <v>-0.81</v>
      </c>
      <c r="K15" s="243">
        <v>11.44</v>
      </c>
      <c r="M15" s="249">
        <f t="shared" si="8"/>
        <v>-4.5</v>
      </c>
      <c r="N15" s="243">
        <v>10.14</v>
      </c>
      <c r="O15" s="243" t="s">
        <v>151</v>
      </c>
      <c r="P15" s="247">
        <f t="shared" si="2"/>
        <v>-1.3</v>
      </c>
      <c r="R15" s="243" t="s">
        <v>147</v>
      </c>
      <c r="S15" s="252">
        <f t="shared" si="3"/>
        <v>0</v>
      </c>
      <c r="T15" s="243">
        <v>10.84</v>
      </c>
      <c r="V15" s="252">
        <f t="shared" si="4"/>
        <v>0.7</v>
      </c>
      <c r="W15" s="243">
        <v>10.16</v>
      </c>
      <c r="Y15" s="247">
        <f t="shared" si="5"/>
        <v>0.02</v>
      </c>
      <c r="Z15" s="243">
        <v>7.87</v>
      </c>
      <c r="AB15" s="252">
        <f t="shared" si="6"/>
        <v>-2.27</v>
      </c>
      <c r="AF15" s="260"/>
      <c r="AH15" s="252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255"/>
      <c r="AZ15" s="255"/>
      <c r="BA15" s="255"/>
      <c r="BB15" s="255"/>
      <c r="BC15" s="255"/>
      <c r="BD15" s="255"/>
      <c r="BE15" s="255"/>
      <c r="BF15" s="255"/>
      <c r="BG15" s="255"/>
      <c r="BH15" s="255"/>
      <c r="BI15" s="255"/>
      <c r="BJ15" s="255"/>
      <c r="BK15" s="255"/>
      <c r="BL15" s="255"/>
      <c r="BM15" s="255"/>
      <c r="BN15" s="255"/>
      <c r="BO15" s="255"/>
      <c r="BP15" s="255"/>
    </row>
    <row r="16">
      <c r="A16" s="247" t="s">
        <v>162</v>
      </c>
      <c r="B16" s="245">
        <f t="shared" si="1"/>
        <v>8.06</v>
      </c>
      <c r="C16" s="246">
        <v>18.35</v>
      </c>
      <c r="D16" s="247"/>
      <c r="E16" s="246"/>
      <c r="G16" s="247"/>
      <c r="H16" s="248"/>
      <c r="J16" s="244">
        <f t="shared" si="7"/>
        <v>0</v>
      </c>
      <c r="K16" s="243">
        <v>12.45</v>
      </c>
      <c r="M16" s="259">
        <f t="shared" si="8"/>
        <v>-5.9</v>
      </c>
      <c r="N16" s="243">
        <v>12.16</v>
      </c>
      <c r="O16" s="243" t="s">
        <v>110</v>
      </c>
      <c r="P16" s="253">
        <f t="shared" si="2"/>
        <v>-0.29</v>
      </c>
      <c r="Q16" s="243">
        <v>11.07</v>
      </c>
      <c r="R16" s="243" t="s">
        <v>140</v>
      </c>
      <c r="S16" s="257">
        <f t="shared" si="3"/>
        <v>-1.09</v>
      </c>
      <c r="T16" s="243">
        <v>13.54</v>
      </c>
      <c r="U16" s="243" t="s">
        <v>140</v>
      </c>
      <c r="V16" s="257">
        <f t="shared" si="4"/>
        <v>2.47</v>
      </c>
      <c r="W16" s="243">
        <v>11.4</v>
      </c>
      <c r="X16" s="243" t="s">
        <v>140</v>
      </c>
      <c r="Y16" s="253">
        <f t="shared" si="5"/>
        <v>0.33</v>
      </c>
      <c r="Z16" s="243">
        <v>8.06</v>
      </c>
      <c r="AB16" s="257">
        <f t="shared" si="6"/>
        <v>-3.01</v>
      </c>
      <c r="AF16" s="260"/>
      <c r="AH16" s="252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255"/>
      <c r="AZ16" s="255"/>
      <c r="BA16" s="255"/>
      <c r="BB16" s="255"/>
      <c r="BC16" s="255"/>
      <c r="BD16" s="255"/>
      <c r="BE16" s="255"/>
      <c r="BF16" s="255"/>
      <c r="BG16" s="255"/>
      <c r="BH16" s="255"/>
      <c r="BI16" s="255"/>
      <c r="BJ16" s="255"/>
      <c r="BK16" s="255"/>
      <c r="BL16" s="255"/>
      <c r="BM16" s="255"/>
      <c r="BN16" s="255"/>
      <c r="BO16" s="255"/>
      <c r="BP16" s="255"/>
    </row>
    <row r="17">
      <c r="A17" s="247" t="s">
        <v>60</v>
      </c>
      <c r="B17" s="245">
        <f t="shared" si="1"/>
        <v>8.15</v>
      </c>
      <c r="C17" s="246">
        <v>17.96</v>
      </c>
      <c r="D17" s="247" t="s">
        <v>140</v>
      </c>
      <c r="E17" s="246">
        <v>11.13</v>
      </c>
      <c r="F17" s="261" t="s">
        <v>140</v>
      </c>
      <c r="G17" s="247">
        <v>-6.83</v>
      </c>
      <c r="H17" s="248">
        <v>9.09</v>
      </c>
      <c r="I17" s="243" t="s">
        <v>110</v>
      </c>
      <c r="J17" s="256">
        <f t="shared" si="7"/>
        <v>-2.04</v>
      </c>
      <c r="M17" s="249">
        <f t="shared" si="8"/>
        <v>0</v>
      </c>
      <c r="N17" s="243">
        <v>8.87</v>
      </c>
      <c r="O17" s="243" t="s">
        <v>151</v>
      </c>
      <c r="P17" s="253">
        <f t="shared" si="2"/>
        <v>-0.22</v>
      </c>
      <c r="Q17" s="248">
        <v>9.9</v>
      </c>
      <c r="R17" s="243" t="s">
        <v>110</v>
      </c>
      <c r="S17" s="257">
        <f t="shared" si="3"/>
        <v>1.03</v>
      </c>
      <c r="T17" s="243">
        <v>12.14</v>
      </c>
      <c r="U17" s="243" t="s">
        <v>140</v>
      </c>
      <c r="V17" s="257">
        <f t="shared" si="4"/>
        <v>3.27</v>
      </c>
      <c r="W17" s="243">
        <v>8.15</v>
      </c>
      <c r="X17" s="243" t="s">
        <v>110</v>
      </c>
      <c r="Y17" s="253">
        <f t="shared" si="5"/>
        <v>-0.72</v>
      </c>
      <c r="Z17" s="243">
        <v>9.46</v>
      </c>
      <c r="AB17" s="257">
        <f t="shared" si="6"/>
        <v>1.31</v>
      </c>
      <c r="AF17" s="254"/>
      <c r="AH17" s="252"/>
      <c r="AI17" s="255"/>
      <c r="AJ17" s="255"/>
      <c r="AK17" s="255"/>
      <c r="AL17" s="255"/>
      <c r="AM17" s="255"/>
      <c r="AN17" s="255"/>
      <c r="AO17" s="255"/>
      <c r="AP17" s="255"/>
      <c r="AQ17" s="255"/>
      <c r="AR17" s="255"/>
      <c r="AS17" s="255"/>
      <c r="AT17" s="255"/>
      <c r="AU17" s="255"/>
      <c r="AV17" s="255"/>
      <c r="AW17" s="255"/>
      <c r="AX17" s="255"/>
      <c r="AY17" s="255"/>
      <c r="AZ17" s="255"/>
      <c r="BA17" s="255"/>
      <c r="BB17" s="255"/>
      <c r="BC17" s="255"/>
      <c r="BD17" s="255"/>
      <c r="BE17" s="255"/>
      <c r="BF17" s="255"/>
      <c r="BG17" s="255"/>
      <c r="BH17" s="255"/>
      <c r="BI17" s="255"/>
      <c r="BJ17" s="255"/>
      <c r="BK17" s="255"/>
      <c r="BL17" s="255"/>
      <c r="BM17" s="255"/>
      <c r="BN17" s="255"/>
      <c r="BO17" s="255"/>
      <c r="BP17" s="255"/>
    </row>
    <row r="18">
      <c r="A18" s="247" t="s">
        <v>163</v>
      </c>
      <c r="B18" s="245">
        <f t="shared" si="1"/>
        <v>8.84</v>
      </c>
      <c r="D18" s="247"/>
      <c r="E18" s="246">
        <v>17.32</v>
      </c>
      <c r="G18" s="247"/>
      <c r="H18" s="248">
        <v>8.84</v>
      </c>
      <c r="I18" s="243" t="s">
        <v>110</v>
      </c>
      <c r="J18" s="256">
        <f t="shared" si="7"/>
        <v>-8.48</v>
      </c>
      <c r="M18" s="249">
        <f t="shared" si="8"/>
        <v>0</v>
      </c>
      <c r="O18" s="243" t="s">
        <v>147</v>
      </c>
      <c r="P18" s="247">
        <f t="shared" si="2"/>
        <v>0</v>
      </c>
      <c r="R18" s="243" t="s">
        <v>141</v>
      </c>
      <c r="S18" s="252">
        <f t="shared" si="3"/>
        <v>0</v>
      </c>
      <c r="U18" s="243" t="s">
        <v>141</v>
      </c>
      <c r="V18" s="252">
        <f t="shared" si="4"/>
        <v>0</v>
      </c>
      <c r="X18" s="243" t="s">
        <v>141</v>
      </c>
      <c r="Y18" s="247">
        <f t="shared" si="5"/>
        <v>0</v>
      </c>
      <c r="AB18" s="252">
        <f t="shared" si="6"/>
        <v>0</v>
      </c>
      <c r="AF18" s="254"/>
      <c r="AH18" s="252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255"/>
      <c r="AZ18" s="255"/>
      <c r="BA18" s="255"/>
      <c r="BB18" s="255"/>
      <c r="BC18" s="255"/>
      <c r="BD18" s="255"/>
      <c r="BE18" s="255"/>
      <c r="BF18" s="255"/>
      <c r="BG18" s="255"/>
      <c r="BH18" s="255"/>
      <c r="BI18" s="255"/>
      <c r="BJ18" s="255"/>
      <c r="BK18" s="255"/>
      <c r="BL18" s="255"/>
      <c r="BM18" s="255"/>
      <c r="BN18" s="255"/>
      <c r="BO18" s="255"/>
      <c r="BP18" s="255"/>
    </row>
    <row r="19">
      <c r="A19" s="247" t="s">
        <v>164</v>
      </c>
      <c r="B19" s="245">
        <f t="shared" si="1"/>
        <v>8.92</v>
      </c>
      <c r="C19" s="246"/>
      <c r="D19" s="247"/>
      <c r="E19" s="246"/>
      <c r="G19" s="247"/>
      <c r="H19" s="250"/>
      <c r="J19" s="244">
        <f t="shared" si="7"/>
        <v>0</v>
      </c>
      <c r="K19" s="243">
        <v>11.1</v>
      </c>
      <c r="M19" s="259">
        <f t="shared" si="8"/>
        <v>11.1</v>
      </c>
      <c r="O19" s="243" t="s">
        <v>141</v>
      </c>
      <c r="P19" s="247">
        <f t="shared" si="2"/>
        <v>0</v>
      </c>
      <c r="R19" s="243" t="s">
        <v>141</v>
      </c>
      <c r="S19" s="252">
        <f t="shared" si="3"/>
        <v>0</v>
      </c>
      <c r="T19" s="243">
        <v>10.36</v>
      </c>
      <c r="U19" s="243" t="s">
        <v>25</v>
      </c>
      <c r="V19" s="257">
        <f t="shared" si="4"/>
        <v>-0.74</v>
      </c>
      <c r="Y19" s="247">
        <f t="shared" si="5"/>
        <v>0</v>
      </c>
      <c r="Z19" s="243">
        <v>8.92</v>
      </c>
      <c r="AB19" s="257">
        <f t="shared" si="6"/>
        <v>-1.44</v>
      </c>
      <c r="AF19" s="260"/>
      <c r="AH19" s="252"/>
      <c r="AI19" s="255"/>
      <c r="AJ19" s="255"/>
      <c r="AK19" s="255"/>
      <c r="AL19" s="255"/>
      <c r="AM19" s="255"/>
      <c r="AN19" s="255"/>
      <c r="AO19" s="255"/>
      <c r="AP19" s="255"/>
      <c r="AQ19" s="255"/>
      <c r="AR19" s="255"/>
      <c r="AS19" s="255"/>
      <c r="AT19" s="255"/>
      <c r="AU19" s="255"/>
      <c r="AV19" s="255"/>
      <c r="AW19" s="255"/>
      <c r="AX19" s="255"/>
      <c r="AY19" s="255"/>
      <c r="AZ19" s="255"/>
      <c r="BA19" s="255"/>
      <c r="BB19" s="255"/>
      <c r="BC19" s="255"/>
      <c r="BD19" s="255"/>
      <c r="BE19" s="255"/>
      <c r="BF19" s="255"/>
      <c r="BG19" s="255"/>
      <c r="BH19" s="255"/>
      <c r="BI19" s="255"/>
      <c r="BJ19" s="255"/>
      <c r="BK19" s="255"/>
      <c r="BL19" s="255"/>
      <c r="BM19" s="255"/>
      <c r="BN19" s="255"/>
      <c r="BO19" s="255"/>
      <c r="BP19" s="255"/>
    </row>
    <row r="20">
      <c r="A20" s="247" t="s">
        <v>165</v>
      </c>
      <c r="B20" s="245">
        <f t="shared" si="1"/>
        <v>9.46</v>
      </c>
      <c r="C20" s="246">
        <v>12.37</v>
      </c>
      <c r="D20" s="247" t="s">
        <v>110</v>
      </c>
      <c r="E20" s="246"/>
      <c r="G20" s="247"/>
      <c r="H20" s="250"/>
      <c r="J20" s="244">
        <f t="shared" si="7"/>
        <v>0</v>
      </c>
      <c r="K20" s="243">
        <v>18.0</v>
      </c>
      <c r="L20" s="243" t="s">
        <v>166</v>
      </c>
      <c r="M20" s="259">
        <f t="shared" si="8"/>
        <v>5.63</v>
      </c>
      <c r="N20" s="243">
        <v>10.4</v>
      </c>
      <c r="O20" s="243" t="s">
        <v>140</v>
      </c>
      <c r="P20" s="253">
        <f t="shared" si="2"/>
        <v>-1.97</v>
      </c>
      <c r="Q20" s="243">
        <v>17.05</v>
      </c>
      <c r="S20" s="257">
        <f t="shared" si="3"/>
        <v>6.65</v>
      </c>
      <c r="T20" s="243">
        <v>9.94</v>
      </c>
      <c r="U20" s="243" t="s">
        <v>140</v>
      </c>
      <c r="V20" s="257">
        <f t="shared" si="4"/>
        <v>-0.46</v>
      </c>
      <c r="W20" s="243">
        <v>9.46</v>
      </c>
      <c r="Y20" s="253">
        <f t="shared" si="5"/>
        <v>-0.48</v>
      </c>
      <c r="AA20" s="243" t="s">
        <v>167</v>
      </c>
      <c r="AB20" s="252">
        <f t="shared" si="6"/>
        <v>0</v>
      </c>
      <c r="AF20" s="260"/>
      <c r="AH20" s="252"/>
      <c r="AI20" s="255"/>
      <c r="AJ20" s="255"/>
      <c r="AK20" s="255"/>
      <c r="AL20" s="255"/>
      <c r="AM20" s="255"/>
      <c r="AN20" s="255"/>
      <c r="AO20" s="255"/>
      <c r="AP20" s="255"/>
      <c r="AQ20" s="255"/>
      <c r="AR20" s="255"/>
      <c r="AS20" s="255"/>
      <c r="AT20" s="255"/>
      <c r="AU20" s="255"/>
      <c r="AV20" s="255"/>
      <c r="AW20" s="255"/>
      <c r="AX20" s="255"/>
      <c r="AY20" s="255"/>
      <c r="AZ20" s="255"/>
      <c r="BA20" s="255"/>
      <c r="BB20" s="255"/>
      <c r="BC20" s="255"/>
      <c r="BD20" s="255"/>
      <c r="BE20" s="255"/>
      <c r="BF20" s="255"/>
      <c r="BG20" s="255"/>
      <c r="BH20" s="255"/>
      <c r="BI20" s="255"/>
      <c r="BJ20" s="255"/>
      <c r="BK20" s="255"/>
      <c r="BL20" s="255"/>
      <c r="BM20" s="255"/>
      <c r="BN20" s="255"/>
      <c r="BO20" s="255"/>
      <c r="BP20" s="255"/>
    </row>
    <row r="21"/>
    <row r="22">
      <c r="A22" s="240" t="s">
        <v>168</v>
      </c>
    </row>
    <row r="23">
      <c r="A23" s="243" t="s">
        <v>169</v>
      </c>
      <c r="B23" s="243">
        <v>17.52</v>
      </c>
      <c r="K23" s="243">
        <v>17.52</v>
      </c>
      <c r="T23" s="243">
        <v>13.12</v>
      </c>
      <c r="U23" s="243" t="s">
        <v>25</v>
      </c>
      <c r="W23" s="243">
        <v>10.5</v>
      </c>
    </row>
    <row r="24">
      <c r="A24" s="243" t="s">
        <v>170</v>
      </c>
      <c r="B24" s="261">
        <f>8.6</f>
        <v>8.6</v>
      </c>
      <c r="K24" s="243">
        <v>8.6</v>
      </c>
      <c r="L24" s="243" t="s">
        <v>171</v>
      </c>
      <c r="W24" s="243">
        <v>11.59</v>
      </c>
      <c r="X24" s="243" t="s">
        <v>110</v>
      </c>
    </row>
    <row r="25">
      <c r="A25" s="243" t="s">
        <v>172</v>
      </c>
      <c r="W25" s="243">
        <v>7.02</v>
      </c>
      <c r="X25" s="243" t="s">
        <v>151</v>
      </c>
    </row>
    <row r="26">
      <c r="A26" s="243" t="s">
        <v>173</v>
      </c>
      <c r="W26" s="243">
        <v>6.49</v>
      </c>
      <c r="X26" s="243" t="s">
        <v>110</v>
      </c>
    </row>
    <row r="27">
      <c r="A27" s="243" t="s">
        <v>174</v>
      </c>
      <c r="W27" s="243">
        <v>27.3</v>
      </c>
      <c r="X27" s="243" t="s">
        <v>175</v>
      </c>
    </row>
    <row r="28">
      <c r="A28" s="243" t="s">
        <v>176</v>
      </c>
      <c r="W28" s="243">
        <v>21.6</v>
      </c>
      <c r="X28" s="243" t="s">
        <v>177</v>
      </c>
    </row>
    <row r="29"/>
    <row r="30">
      <c r="C30" s="236" t="s">
        <v>0</v>
      </c>
      <c r="D30" s="236" t="s">
        <v>133</v>
      </c>
      <c r="F30" s="236" t="s">
        <v>0</v>
      </c>
      <c r="G30" s="236" t="s">
        <v>134</v>
      </c>
      <c r="I30" s="240" t="s">
        <v>0</v>
      </c>
      <c r="J30" s="241">
        <v>45233.0</v>
      </c>
      <c r="L30" s="240" t="s">
        <v>0</v>
      </c>
      <c r="M30" s="241">
        <v>45240.0</v>
      </c>
      <c r="O30" s="240" t="s">
        <v>0</v>
      </c>
      <c r="P30" s="262">
        <v>45247.0</v>
      </c>
      <c r="R30" s="240" t="s">
        <v>0</v>
      </c>
      <c r="S30" s="262">
        <v>45254.0</v>
      </c>
      <c r="U30" s="240" t="s">
        <v>0</v>
      </c>
      <c r="V30" s="262">
        <v>45261.0</v>
      </c>
      <c r="X30" s="240" t="s">
        <v>0</v>
      </c>
      <c r="Y30" s="262">
        <v>45268.0</v>
      </c>
      <c r="AA30" s="240" t="s">
        <v>0</v>
      </c>
      <c r="AB30" s="262">
        <v>45275.0</v>
      </c>
      <c r="AD30" s="240" t="s">
        <v>0</v>
      </c>
      <c r="AE30" s="262">
        <v>45303.0</v>
      </c>
      <c r="AF30" s="263"/>
      <c r="AG30" s="240" t="s">
        <v>0</v>
      </c>
      <c r="AH30" s="262">
        <v>45317.0</v>
      </c>
      <c r="AI30" s="263"/>
      <c r="AJ30" s="263"/>
      <c r="AK30" s="263"/>
      <c r="AL30" s="263"/>
      <c r="AM30" s="263"/>
      <c r="AN30" s="263"/>
      <c r="AO30" s="263"/>
      <c r="AP30" s="263"/>
      <c r="AQ30" s="263"/>
      <c r="AR30" s="263"/>
      <c r="AS30" s="263"/>
      <c r="AT30" s="263"/>
      <c r="AU30" s="263"/>
      <c r="AV30" s="263"/>
      <c r="AW30" s="263"/>
      <c r="AX30" s="263"/>
      <c r="AY30" s="263"/>
      <c r="AZ30" s="263"/>
      <c r="BA30" s="263"/>
      <c r="BB30" s="263"/>
      <c r="BC30" s="263"/>
      <c r="BD30" s="263"/>
      <c r="BE30" s="263"/>
      <c r="BF30" s="263"/>
      <c r="BG30" s="263"/>
      <c r="BH30" s="263"/>
      <c r="BI30" s="263"/>
      <c r="BJ30" s="263"/>
      <c r="BK30" s="263"/>
      <c r="BL30" s="263"/>
      <c r="BM30" s="263"/>
      <c r="BN30" s="263"/>
      <c r="BO30" s="263"/>
      <c r="BP30" s="263"/>
    </row>
    <row r="31">
      <c r="B31" s="243" t="s">
        <v>178</v>
      </c>
      <c r="C31" s="261" t="s">
        <v>150</v>
      </c>
      <c r="D31" s="246">
        <v>6.47</v>
      </c>
      <c r="E31" s="243" t="s">
        <v>178</v>
      </c>
      <c r="F31" s="261" t="s">
        <v>142</v>
      </c>
      <c r="G31" s="246">
        <v>5.75</v>
      </c>
      <c r="H31" s="243" t="s">
        <v>178</v>
      </c>
      <c r="I31" s="261" t="s">
        <v>142</v>
      </c>
      <c r="J31" s="248">
        <v>5.6</v>
      </c>
      <c r="K31" s="243" t="s">
        <v>178</v>
      </c>
      <c r="L31" s="243" t="s">
        <v>143</v>
      </c>
      <c r="M31" s="248">
        <v>6.14</v>
      </c>
      <c r="N31" s="243" t="s">
        <v>178</v>
      </c>
      <c r="O31" s="243" t="s">
        <v>139</v>
      </c>
      <c r="P31" s="243">
        <v>5.26</v>
      </c>
      <c r="Q31" s="243" t="s">
        <v>178</v>
      </c>
      <c r="R31" s="243" t="s">
        <v>142</v>
      </c>
      <c r="S31" s="243">
        <v>5.85</v>
      </c>
      <c r="T31" s="243" t="s">
        <v>178</v>
      </c>
      <c r="U31" s="261" t="s">
        <v>142</v>
      </c>
      <c r="V31" s="243">
        <v>5.45</v>
      </c>
      <c r="W31" s="243" t="s">
        <v>178</v>
      </c>
      <c r="X31" s="261" t="s">
        <v>142</v>
      </c>
      <c r="Y31" s="243">
        <v>5.56</v>
      </c>
      <c r="Z31" s="243" t="s">
        <v>179</v>
      </c>
      <c r="AA31" s="261" t="s">
        <v>145</v>
      </c>
      <c r="AB31" s="243">
        <v>6.03</v>
      </c>
      <c r="AC31" s="243" t="s">
        <v>179</v>
      </c>
      <c r="AD31" s="243" t="s">
        <v>143</v>
      </c>
      <c r="AE31" s="243">
        <v>5.54</v>
      </c>
      <c r="AF31" s="243"/>
      <c r="AG31" s="243" t="s">
        <v>143</v>
      </c>
      <c r="AH31" s="264">
        <v>5.53</v>
      </c>
      <c r="AI31" s="243"/>
      <c r="AJ31" s="243"/>
      <c r="AK31" s="243"/>
      <c r="AL31" s="243"/>
      <c r="AM31" s="243"/>
      <c r="AN31" s="243"/>
      <c r="AO31" s="243"/>
      <c r="AP31" s="243"/>
      <c r="AQ31" s="243"/>
      <c r="AR31" s="243"/>
      <c r="AS31" s="243"/>
      <c r="AT31" s="243"/>
      <c r="AU31" s="243"/>
      <c r="AV31" s="243"/>
      <c r="AW31" s="243"/>
      <c r="AX31" s="243"/>
      <c r="AY31" s="243"/>
      <c r="AZ31" s="243"/>
      <c r="BA31" s="243"/>
      <c r="BB31" s="243"/>
      <c r="BC31" s="243"/>
      <c r="BD31" s="243"/>
      <c r="BE31" s="243"/>
      <c r="BF31" s="243"/>
      <c r="BG31" s="243"/>
      <c r="BH31" s="243"/>
      <c r="BI31" s="243"/>
      <c r="BJ31" s="243"/>
      <c r="BK31" s="243"/>
      <c r="BL31" s="243"/>
      <c r="BM31" s="243"/>
      <c r="BN31" s="243"/>
      <c r="BO31" s="243"/>
      <c r="BP31" s="243"/>
    </row>
    <row r="32">
      <c r="B32" s="243" t="s">
        <v>180</v>
      </c>
      <c r="C32" s="261" t="s">
        <v>153</v>
      </c>
      <c r="D32" s="246">
        <v>7.02</v>
      </c>
      <c r="E32" s="243" t="s">
        <v>180</v>
      </c>
      <c r="F32" s="261" t="s">
        <v>150</v>
      </c>
      <c r="G32" s="246">
        <v>7.6</v>
      </c>
      <c r="H32" s="243" t="s">
        <v>180</v>
      </c>
      <c r="I32" s="243" t="s">
        <v>143</v>
      </c>
      <c r="J32" s="248">
        <v>6.24</v>
      </c>
      <c r="K32" s="243" t="s">
        <v>180</v>
      </c>
      <c r="L32" s="261" t="s">
        <v>145</v>
      </c>
      <c r="M32" s="248">
        <v>6.14</v>
      </c>
      <c r="N32" s="243" t="s">
        <v>180</v>
      </c>
      <c r="O32" s="261" t="s">
        <v>142</v>
      </c>
      <c r="P32" s="243">
        <v>5.54</v>
      </c>
      <c r="Q32" s="243" t="s">
        <v>180</v>
      </c>
      <c r="R32" s="243" t="s">
        <v>143</v>
      </c>
      <c r="S32" s="243">
        <v>6.53</v>
      </c>
      <c r="T32" s="243" t="s">
        <v>180</v>
      </c>
      <c r="U32" s="261" t="s">
        <v>145</v>
      </c>
      <c r="V32" s="243">
        <v>6.79</v>
      </c>
      <c r="W32" s="243" t="s">
        <v>180</v>
      </c>
      <c r="X32" s="243" t="s">
        <v>139</v>
      </c>
      <c r="Y32" s="243">
        <v>5.83</v>
      </c>
      <c r="Z32" s="243" t="s">
        <v>181</v>
      </c>
      <c r="AA32" s="261" t="s">
        <v>146</v>
      </c>
      <c r="AB32" s="243">
        <v>6.35</v>
      </c>
      <c r="AC32" s="243" t="s">
        <v>181</v>
      </c>
      <c r="AD32" s="261" t="s">
        <v>160</v>
      </c>
      <c r="AE32" s="243">
        <v>8.2</v>
      </c>
      <c r="AF32" s="243"/>
      <c r="AG32" s="261" t="s">
        <v>158</v>
      </c>
      <c r="AH32" s="264">
        <v>7.5</v>
      </c>
    </row>
    <row r="33">
      <c r="B33" s="243" t="s">
        <v>182</v>
      </c>
      <c r="C33" s="261" t="s">
        <v>146</v>
      </c>
      <c r="D33" s="246">
        <v>7.66</v>
      </c>
      <c r="E33" s="243" t="s">
        <v>182</v>
      </c>
      <c r="F33" s="261" t="s">
        <v>155</v>
      </c>
      <c r="G33" s="246">
        <v>8.4</v>
      </c>
      <c r="H33" s="243" t="s">
        <v>182</v>
      </c>
      <c r="I33" s="261" t="s">
        <v>153</v>
      </c>
      <c r="J33" s="248">
        <v>6.86</v>
      </c>
      <c r="K33" s="243" t="s">
        <v>182</v>
      </c>
      <c r="L33" s="261" t="s">
        <v>153</v>
      </c>
      <c r="M33" s="248">
        <v>7.01</v>
      </c>
      <c r="N33" s="243" t="s">
        <v>182</v>
      </c>
      <c r="O33" s="243" t="s">
        <v>143</v>
      </c>
      <c r="P33" s="243">
        <v>6.45</v>
      </c>
      <c r="Q33" s="243" t="s">
        <v>182</v>
      </c>
      <c r="R33" s="243" t="s">
        <v>145</v>
      </c>
      <c r="S33" s="243">
        <v>6.6</v>
      </c>
      <c r="T33" s="243" t="s">
        <v>182</v>
      </c>
      <c r="U33" s="261" t="s">
        <v>153</v>
      </c>
      <c r="V33" s="243">
        <v>7.15</v>
      </c>
      <c r="W33" s="243" t="s">
        <v>182</v>
      </c>
      <c r="X33" s="243" t="s">
        <v>173</v>
      </c>
      <c r="Y33" s="243">
        <v>6.49</v>
      </c>
      <c r="Z33" s="243" t="s">
        <v>182</v>
      </c>
      <c r="AA33" s="261" t="s">
        <v>149</v>
      </c>
      <c r="AB33" s="243">
        <v>6.43</v>
      </c>
      <c r="AC33" s="243" t="s">
        <v>182</v>
      </c>
      <c r="AD33" s="261" t="s">
        <v>155</v>
      </c>
      <c r="AE33" s="243">
        <v>8.9</v>
      </c>
      <c r="AF33" s="243"/>
      <c r="AG33" s="261" t="s">
        <v>155</v>
      </c>
      <c r="AH33" s="264">
        <v>7.86</v>
      </c>
    </row>
    <row r="34">
      <c r="B34" s="243" t="s">
        <v>183</v>
      </c>
      <c r="C34" s="261" t="s">
        <v>145</v>
      </c>
      <c r="D34" s="246">
        <v>7.76</v>
      </c>
      <c r="E34" s="243" t="s">
        <v>183</v>
      </c>
      <c r="F34" s="261" t="s">
        <v>159</v>
      </c>
      <c r="G34" s="246">
        <v>8.41</v>
      </c>
      <c r="H34" s="243" t="s">
        <v>183</v>
      </c>
      <c r="I34" s="261" t="s">
        <v>145</v>
      </c>
      <c r="J34" s="248">
        <v>7.26</v>
      </c>
      <c r="K34" s="243" t="s">
        <v>183</v>
      </c>
      <c r="L34" s="261" t="s">
        <v>150</v>
      </c>
      <c r="M34" s="248">
        <v>7.72</v>
      </c>
      <c r="N34" s="243" t="s">
        <v>183</v>
      </c>
      <c r="O34" s="261" t="s">
        <v>145</v>
      </c>
      <c r="P34" s="243">
        <v>6.81</v>
      </c>
      <c r="Q34" s="243" t="s">
        <v>183</v>
      </c>
      <c r="R34" s="243" t="s">
        <v>158</v>
      </c>
      <c r="S34" s="243">
        <v>7.5</v>
      </c>
      <c r="T34" s="243" t="s">
        <v>183</v>
      </c>
      <c r="U34" s="261" t="s">
        <v>158</v>
      </c>
      <c r="V34" s="243">
        <v>7.61</v>
      </c>
      <c r="W34" s="243" t="s">
        <v>183</v>
      </c>
      <c r="X34" s="243" t="s">
        <v>172</v>
      </c>
      <c r="Y34" s="243">
        <v>7.02</v>
      </c>
      <c r="Z34" s="243" t="s">
        <v>184</v>
      </c>
      <c r="AA34" s="261" t="s">
        <v>154</v>
      </c>
      <c r="AB34" s="243">
        <v>7.18</v>
      </c>
      <c r="AC34" s="243" t="s">
        <v>184</v>
      </c>
      <c r="AD34" s="261" t="s">
        <v>164</v>
      </c>
      <c r="AE34" s="243">
        <v>10.3</v>
      </c>
      <c r="AF34" s="243"/>
      <c r="AG34" s="261" t="s">
        <v>154</v>
      </c>
      <c r="AH34" s="264">
        <v>8.55</v>
      </c>
    </row>
    <row r="35">
      <c r="B35" s="243" t="s">
        <v>185</v>
      </c>
      <c r="C35" s="261" t="s">
        <v>159</v>
      </c>
      <c r="D35" s="246">
        <v>8.2</v>
      </c>
      <c r="E35" s="243" t="s">
        <v>185</v>
      </c>
      <c r="F35" s="261" t="s">
        <v>60</v>
      </c>
      <c r="G35" s="246">
        <v>11.13</v>
      </c>
      <c r="H35" s="243" t="s">
        <v>185</v>
      </c>
      <c r="I35" s="261" t="s">
        <v>150</v>
      </c>
      <c r="J35" s="248">
        <v>7.55</v>
      </c>
      <c r="K35" s="243" t="s">
        <v>185</v>
      </c>
      <c r="L35" s="261" t="s">
        <v>158</v>
      </c>
      <c r="M35" s="248">
        <v>8.08</v>
      </c>
      <c r="N35" s="243" t="s">
        <v>185</v>
      </c>
      <c r="O35" s="261" t="s">
        <v>153</v>
      </c>
      <c r="P35" s="243">
        <v>6.89</v>
      </c>
      <c r="Q35" s="243" t="s">
        <v>185</v>
      </c>
      <c r="R35" s="243" t="s">
        <v>118</v>
      </c>
      <c r="S35" s="243">
        <v>8.25</v>
      </c>
      <c r="T35" s="243" t="s">
        <v>185</v>
      </c>
      <c r="U35" s="243" t="s">
        <v>154</v>
      </c>
      <c r="V35" s="243">
        <v>7.72</v>
      </c>
      <c r="W35" s="243" t="s">
        <v>185</v>
      </c>
      <c r="X35" s="261" t="s">
        <v>155</v>
      </c>
      <c r="Y35" s="243">
        <v>7.57</v>
      </c>
      <c r="Z35" s="243" t="s">
        <v>186</v>
      </c>
      <c r="AA35" s="261" t="s">
        <v>118</v>
      </c>
      <c r="AB35" s="243">
        <v>7.42</v>
      </c>
      <c r="AC35" s="243" t="s">
        <v>186</v>
      </c>
      <c r="AD35" s="261" t="s">
        <v>165</v>
      </c>
      <c r="AE35" s="243">
        <v>12.97</v>
      </c>
      <c r="AF35" s="243"/>
      <c r="AG35" s="261" t="s">
        <v>160</v>
      </c>
      <c r="AH35" s="264">
        <v>9.5</v>
      </c>
    </row>
    <row r="36">
      <c r="B36" s="243" t="s">
        <v>187</v>
      </c>
      <c r="C36" s="261" t="s">
        <v>188</v>
      </c>
      <c r="D36" s="246">
        <v>9.14</v>
      </c>
      <c r="E36" s="243" t="s">
        <v>187</v>
      </c>
      <c r="F36" s="261" t="s">
        <v>149</v>
      </c>
      <c r="G36" s="246">
        <v>11.69</v>
      </c>
      <c r="H36" s="243" t="s">
        <v>187</v>
      </c>
      <c r="I36" s="261" t="s">
        <v>149</v>
      </c>
      <c r="J36" s="248">
        <v>7.61</v>
      </c>
      <c r="K36" s="243" t="s">
        <v>187</v>
      </c>
      <c r="L36" s="243" t="s">
        <v>170</v>
      </c>
      <c r="M36" s="243">
        <v>8.6</v>
      </c>
      <c r="N36" s="243" t="s">
        <v>187</v>
      </c>
      <c r="O36" s="261" t="s">
        <v>158</v>
      </c>
      <c r="P36" s="243">
        <v>7.5</v>
      </c>
      <c r="Q36" s="243" t="s">
        <v>187</v>
      </c>
      <c r="R36" s="243" t="s">
        <v>159</v>
      </c>
      <c r="S36" s="243">
        <v>8.8</v>
      </c>
      <c r="T36" s="243" t="s">
        <v>187</v>
      </c>
      <c r="U36" s="261" t="s">
        <v>150</v>
      </c>
      <c r="V36" s="243">
        <v>7.9</v>
      </c>
      <c r="W36" s="243" t="s">
        <v>187</v>
      </c>
      <c r="X36" s="261" t="s">
        <v>158</v>
      </c>
      <c r="Y36" s="243">
        <v>7.59</v>
      </c>
      <c r="Z36" s="243" t="s">
        <v>187</v>
      </c>
      <c r="AA36" s="261" t="s">
        <v>159</v>
      </c>
      <c r="AB36" s="243">
        <v>7.72</v>
      </c>
      <c r="AC36" s="243" t="s">
        <v>187</v>
      </c>
      <c r="AD36" s="261" t="s">
        <v>145</v>
      </c>
      <c r="AG36" s="261" t="s">
        <v>164</v>
      </c>
      <c r="AH36" s="264">
        <v>9.62</v>
      </c>
    </row>
    <row r="37">
      <c r="B37" s="243" t="s">
        <v>189</v>
      </c>
      <c r="C37" s="261" t="s">
        <v>118</v>
      </c>
      <c r="D37" s="246">
        <v>9.52</v>
      </c>
      <c r="E37" s="243" t="s">
        <v>189</v>
      </c>
      <c r="F37" s="261" t="s">
        <v>160</v>
      </c>
      <c r="G37" s="246">
        <v>16.75</v>
      </c>
      <c r="H37" s="243" t="s">
        <v>189</v>
      </c>
      <c r="I37" s="261" t="s">
        <v>158</v>
      </c>
      <c r="J37" s="248">
        <v>8.61</v>
      </c>
      <c r="K37" s="243" t="s">
        <v>189</v>
      </c>
      <c r="L37" s="261" t="s">
        <v>164</v>
      </c>
      <c r="M37" s="248">
        <v>11.1</v>
      </c>
      <c r="N37" s="243" t="s">
        <v>189</v>
      </c>
      <c r="O37" s="261" t="s">
        <v>149</v>
      </c>
      <c r="P37" s="243">
        <v>8.06</v>
      </c>
      <c r="Q37" s="243" t="s">
        <v>189</v>
      </c>
      <c r="R37" s="243" t="s">
        <v>154</v>
      </c>
      <c r="S37" s="243">
        <v>9.77</v>
      </c>
      <c r="T37" s="243" t="s">
        <v>189</v>
      </c>
      <c r="U37" s="261" t="s">
        <v>149</v>
      </c>
      <c r="V37" s="243">
        <v>8.05</v>
      </c>
      <c r="W37" s="243" t="s">
        <v>189</v>
      </c>
      <c r="X37" s="261" t="s">
        <v>150</v>
      </c>
      <c r="Y37" s="243">
        <v>7.6</v>
      </c>
      <c r="Z37" s="243" t="s">
        <v>190</v>
      </c>
      <c r="AA37" s="261" t="s">
        <v>160</v>
      </c>
      <c r="AB37" s="243">
        <v>7.87</v>
      </c>
      <c r="AC37" s="243" t="s">
        <v>190</v>
      </c>
      <c r="AD37" s="261" t="s">
        <v>146</v>
      </c>
      <c r="AG37" s="261" t="s">
        <v>162</v>
      </c>
      <c r="AH37" s="264">
        <v>10.03</v>
      </c>
    </row>
    <row r="38">
      <c r="B38" s="243" t="s">
        <v>191</v>
      </c>
      <c r="C38" s="261" t="s">
        <v>155</v>
      </c>
      <c r="D38" s="246">
        <v>10.9</v>
      </c>
      <c r="E38" s="243" t="s">
        <v>191</v>
      </c>
      <c r="F38" s="261" t="s">
        <v>163</v>
      </c>
      <c r="G38" s="246">
        <v>17.32</v>
      </c>
      <c r="H38" s="243" t="s">
        <v>191</v>
      </c>
      <c r="I38" s="261" t="s">
        <v>163</v>
      </c>
      <c r="J38" s="248">
        <v>8.84</v>
      </c>
      <c r="K38" s="243" t="s">
        <v>191</v>
      </c>
      <c r="L38" s="261" t="s">
        <v>160</v>
      </c>
      <c r="M38" s="248">
        <v>11.44</v>
      </c>
      <c r="N38" s="243" t="s">
        <v>191</v>
      </c>
      <c r="O38" s="261" t="s">
        <v>60</v>
      </c>
      <c r="P38" s="243">
        <v>8.87</v>
      </c>
      <c r="Q38" s="243" t="s">
        <v>191</v>
      </c>
      <c r="R38" s="243" t="s">
        <v>60</v>
      </c>
      <c r="S38" s="243">
        <v>9.9</v>
      </c>
      <c r="T38" s="243" t="s">
        <v>191</v>
      </c>
      <c r="U38" s="261" t="s">
        <v>118</v>
      </c>
      <c r="V38" s="243">
        <v>8.31</v>
      </c>
      <c r="W38" s="243" t="s">
        <v>191</v>
      </c>
      <c r="X38" s="261" t="s">
        <v>145</v>
      </c>
      <c r="Y38" s="243">
        <v>7.75</v>
      </c>
      <c r="Z38" s="243" t="s">
        <v>191</v>
      </c>
      <c r="AA38" s="261" t="s">
        <v>162</v>
      </c>
      <c r="AB38" s="243">
        <v>8.06</v>
      </c>
      <c r="AC38" s="243" t="s">
        <v>191</v>
      </c>
      <c r="AD38" s="261" t="s">
        <v>149</v>
      </c>
      <c r="AG38" s="243" t="s">
        <v>139</v>
      </c>
    </row>
    <row r="39">
      <c r="B39" s="243" t="s">
        <v>192</v>
      </c>
      <c r="C39" s="261" t="s">
        <v>149</v>
      </c>
      <c r="D39" s="246">
        <v>10.97</v>
      </c>
      <c r="F39" s="261" t="s">
        <v>162</v>
      </c>
      <c r="G39" s="246" t="s">
        <v>193</v>
      </c>
      <c r="H39" s="243" t="s">
        <v>192</v>
      </c>
      <c r="I39" s="261" t="s">
        <v>60</v>
      </c>
      <c r="J39" s="248">
        <v>9.09</v>
      </c>
      <c r="K39" s="243" t="s">
        <v>192</v>
      </c>
      <c r="L39" s="261" t="s">
        <v>162</v>
      </c>
      <c r="M39" s="248">
        <v>12.45</v>
      </c>
      <c r="N39" s="243" t="s">
        <v>192</v>
      </c>
      <c r="O39" s="261" t="s">
        <v>159</v>
      </c>
      <c r="P39" s="243">
        <v>9.25</v>
      </c>
      <c r="Q39" s="243" t="s">
        <v>192</v>
      </c>
      <c r="R39" s="243" t="s">
        <v>162</v>
      </c>
      <c r="S39" s="243">
        <v>11.07</v>
      </c>
      <c r="T39" s="243" t="s">
        <v>192</v>
      </c>
      <c r="U39" s="261" t="s">
        <v>155</v>
      </c>
      <c r="V39" s="243">
        <v>8.51</v>
      </c>
      <c r="W39" s="243" t="s">
        <v>192</v>
      </c>
      <c r="X39" s="261" t="s">
        <v>118</v>
      </c>
      <c r="Y39" s="243">
        <v>7.82</v>
      </c>
      <c r="Z39" s="243" t="s">
        <v>192</v>
      </c>
      <c r="AA39" s="261" t="s">
        <v>155</v>
      </c>
      <c r="AB39" s="243">
        <v>8.55</v>
      </c>
      <c r="AC39" s="243" t="s">
        <v>192</v>
      </c>
      <c r="AD39" s="261" t="s">
        <v>154</v>
      </c>
      <c r="AG39" s="261" t="s">
        <v>146</v>
      </c>
    </row>
    <row r="40">
      <c r="B40" s="243" t="s">
        <v>194</v>
      </c>
      <c r="C40" s="261" t="s">
        <v>165</v>
      </c>
      <c r="D40" s="246">
        <v>12.37</v>
      </c>
      <c r="F40" s="261" t="s">
        <v>145</v>
      </c>
      <c r="G40" s="246" t="s">
        <v>193</v>
      </c>
      <c r="H40" s="243" t="s">
        <v>194</v>
      </c>
      <c r="I40" s="261" t="s">
        <v>155</v>
      </c>
      <c r="J40" s="248">
        <v>9.38</v>
      </c>
      <c r="K40" s="243" t="s">
        <v>194</v>
      </c>
      <c r="L40" s="243" t="s">
        <v>169</v>
      </c>
      <c r="M40" s="243">
        <v>17.52</v>
      </c>
      <c r="N40" s="243" t="s">
        <v>194</v>
      </c>
      <c r="O40" s="261" t="s">
        <v>160</v>
      </c>
      <c r="P40" s="243">
        <v>10.14</v>
      </c>
      <c r="Q40" s="243" t="s">
        <v>194</v>
      </c>
      <c r="R40" s="243" t="s">
        <v>165</v>
      </c>
      <c r="S40" s="243">
        <v>17.05</v>
      </c>
      <c r="T40" s="243" t="s">
        <v>194</v>
      </c>
      <c r="U40" s="261" t="s">
        <v>159</v>
      </c>
      <c r="V40" s="243">
        <v>9.44</v>
      </c>
      <c r="W40" s="243" t="s">
        <v>194</v>
      </c>
      <c r="X40" s="261" t="s">
        <v>60</v>
      </c>
      <c r="Y40" s="243">
        <v>8.15</v>
      </c>
      <c r="Z40" s="243" t="s">
        <v>194</v>
      </c>
      <c r="AA40" s="261" t="s">
        <v>164</v>
      </c>
      <c r="AB40" s="243">
        <v>8.92</v>
      </c>
      <c r="AC40" s="243" t="s">
        <v>194</v>
      </c>
      <c r="AD40" s="261" t="s">
        <v>118</v>
      </c>
      <c r="AG40" s="261" t="s">
        <v>153</v>
      </c>
    </row>
    <row r="41">
      <c r="B41" s="243" t="s">
        <v>195</v>
      </c>
      <c r="C41" s="261" t="s">
        <v>154</v>
      </c>
      <c r="D41" s="246">
        <v>15.18</v>
      </c>
      <c r="F41" s="261" t="s">
        <v>153</v>
      </c>
      <c r="G41" s="246" t="s">
        <v>193</v>
      </c>
      <c r="H41" s="243" t="s">
        <v>195</v>
      </c>
      <c r="I41" s="261" t="s">
        <v>159</v>
      </c>
      <c r="J41" s="248">
        <v>9.8</v>
      </c>
      <c r="K41" s="243" t="s">
        <v>195</v>
      </c>
      <c r="L41" s="261" t="s">
        <v>165</v>
      </c>
      <c r="M41" s="248">
        <v>18.0</v>
      </c>
      <c r="N41" s="243" t="s">
        <v>195</v>
      </c>
      <c r="O41" s="261" t="s">
        <v>118</v>
      </c>
      <c r="P41" s="243">
        <v>10.25</v>
      </c>
      <c r="T41" s="243" t="s">
        <v>195</v>
      </c>
      <c r="U41" s="261" t="s">
        <v>165</v>
      </c>
      <c r="V41" s="243">
        <v>9.94</v>
      </c>
      <c r="W41" s="243" t="s">
        <v>195</v>
      </c>
      <c r="X41" s="261" t="s">
        <v>153</v>
      </c>
      <c r="Y41" s="243">
        <v>8.46</v>
      </c>
      <c r="Z41" s="243" t="s">
        <v>196</v>
      </c>
      <c r="AA41" s="261" t="s">
        <v>60</v>
      </c>
      <c r="AB41" s="243">
        <v>9.46</v>
      </c>
      <c r="AC41" s="243" t="s">
        <v>196</v>
      </c>
      <c r="AD41" s="261" t="s">
        <v>159</v>
      </c>
      <c r="AG41" s="261" t="s">
        <v>118</v>
      </c>
    </row>
    <row r="42">
      <c r="B42" s="243" t="s">
        <v>197</v>
      </c>
      <c r="C42" s="261" t="s">
        <v>60</v>
      </c>
      <c r="D42" s="246">
        <v>17.96</v>
      </c>
      <c r="F42" s="261" t="s">
        <v>158</v>
      </c>
      <c r="G42" s="246" t="s">
        <v>193</v>
      </c>
      <c r="H42" s="243" t="s">
        <v>197</v>
      </c>
      <c r="I42" s="261" t="s">
        <v>118</v>
      </c>
      <c r="J42" s="248">
        <v>14.1</v>
      </c>
      <c r="L42" s="261" t="s">
        <v>142</v>
      </c>
      <c r="M42" s="248" t="s">
        <v>193</v>
      </c>
      <c r="N42" s="243" t="s">
        <v>197</v>
      </c>
      <c r="O42" s="261" t="s">
        <v>165</v>
      </c>
      <c r="P42" s="243">
        <v>10.4</v>
      </c>
      <c r="T42" s="243" t="s">
        <v>197</v>
      </c>
      <c r="U42" s="261" t="s">
        <v>164</v>
      </c>
      <c r="V42" s="243">
        <v>10.36</v>
      </c>
      <c r="W42" s="243" t="s">
        <v>197</v>
      </c>
      <c r="X42" s="261" t="s">
        <v>154</v>
      </c>
      <c r="Y42" s="243">
        <v>8.6</v>
      </c>
      <c r="Z42" s="243" t="s">
        <v>198</v>
      </c>
      <c r="AA42" s="261" t="s">
        <v>150</v>
      </c>
      <c r="AB42" s="243">
        <v>14.0</v>
      </c>
      <c r="AC42" s="243" t="s">
        <v>198</v>
      </c>
      <c r="AD42" s="261" t="s">
        <v>162</v>
      </c>
      <c r="AG42" s="261" t="s">
        <v>150</v>
      </c>
    </row>
    <row r="43">
      <c r="B43" s="243" t="s">
        <v>199</v>
      </c>
      <c r="C43" s="261" t="s">
        <v>162</v>
      </c>
      <c r="D43" s="246">
        <v>18.35</v>
      </c>
      <c r="F43" s="261" t="s">
        <v>154</v>
      </c>
      <c r="G43" s="246" t="s">
        <v>193</v>
      </c>
      <c r="H43" s="243" t="s">
        <v>199</v>
      </c>
      <c r="I43" s="261" t="s">
        <v>160</v>
      </c>
      <c r="J43" s="248">
        <v>15.94</v>
      </c>
      <c r="L43" s="261" t="s">
        <v>149</v>
      </c>
      <c r="M43" s="248" t="s">
        <v>193</v>
      </c>
      <c r="N43" s="243" t="s">
        <v>199</v>
      </c>
      <c r="O43" s="261" t="s">
        <v>154</v>
      </c>
      <c r="P43" s="243">
        <v>11.24</v>
      </c>
      <c r="T43" s="243" t="s">
        <v>199</v>
      </c>
      <c r="U43" s="261" t="s">
        <v>160</v>
      </c>
      <c r="V43" s="243">
        <v>10.84</v>
      </c>
      <c r="W43" s="243" t="s">
        <v>199</v>
      </c>
      <c r="X43" s="261" t="s">
        <v>165</v>
      </c>
      <c r="Y43" s="243">
        <v>9.46</v>
      </c>
      <c r="Z43" s="243" t="s">
        <v>200</v>
      </c>
      <c r="AA43" s="261" t="s">
        <v>153</v>
      </c>
      <c r="AB43" s="243">
        <v>16.35</v>
      </c>
      <c r="AC43" s="243" t="s">
        <v>200</v>
      </c>
      <c r="AD43" s="261" t="s">
        <v>60</v>
      </c>
      <c r="AG43" s="261" t="s">
        <v>165</v>
      </c>
    </row>
    <row r="44">
      <c r="C44" s="261" t="s">
        <v>164</v>
      </c>
      <c r="D44" s="261" t="s">
        <v>193</v>
      </c>
      <c r="F44" s="261" t="s">
        <v>146</v>
      </c>
      <c r="G44" s="246" t="s">
        <v>193</v>
      </c>
      <c r="I44" s="261" t="s">
        <v>162</v>
      </c>
      <c r="J44" s="248" t="s">
        <v>193</v>
      </c>
      <c r="L44" s="261" t="s">
        <v>163</v>
      </c>
      <c r="M44" s="248" t="s">
        <v>193</v>
      </c>
      <c r="N44" s="243" t="s">
        <v>201</v>
      </c>
      <c r="O44" s="261" t="s">
        <v>162</v>
      </c>
      <c r="P44" s="243">
        <v>12.16</v>
      </c>
      <c r="T44" s="243" t="s">
        <v>201</v>
      </c>
      <c r="U44" s="261" t="s">
        <v>60</v>
      </c>
      <c r="V44" s="243">
        <v>12.14</v>
      </c>
      <c r="W44" s="243" t="s">
        <v>201</v>
      </c>
      <c r="X44" s="261" t="s">
        <v>159</v>
      </c>
      <c r="Y44" s="243">
        <v>9.86</v>
      </c>
      <c r="AA44" s="243" t="s">
        <v>139</v>
      </c>
      <c r="AD44" s="261" t="s">
        <v>150</v>
      </c>
      <c r="AG44" s="261" t="s">
        <v>145</v>
      </c>
    </row>
    <row r="45">
      <c r="C45" s="261" t="s">
        <v>142</v>
      </c>
      <c r="D45" s="261" t="s">
        <v>193</v>
      </c>
      <c r="F45" s="261" t="s">
        <v>164</v>
      </c>
      <c r="G45" s="246" t="s">
        <v>193</v>
      </c>
      <c r="I45" s="261" t="s">
        <v>164</v>
      </c>
      <c r="J45" s="248" t="s">
        <v>193</v>
      </c>
      <c r="L45" s="261" t="s">
        <v>60</v>
      </c>
      <c r="M45" s="248" t="s">
        <v>193</v>
      </c>
      <c r="N45" s="243" t="s">
        <v>202</v>
      </c>
      <c r="O45" s="261" t="s">
        <v>155</v>
      </c>
      <c r="P45" s="243">
        <v>12.61</v>
      </c>
      <c r="T45" s="243" t="s">
        <v>202</v>
      </c>
      <c r="U45" s="261" t="s">
        <v>162</v>
      </c>
      <c r="V45" s="243">
        <v>13.54</v>
      </c>
      <c r="W45" s="243" t="s">
        <v>202</v>
      </c>
      <c r="X45" s="261" t="s">
        <v>160</v>
      </c>
      <c r="Y45" s="243">
        <v>10.16</v>
      </c>
      <c r="AA45" s="261" t="s">
        <v>158</v>
      </c>
      <c r="AD45" s="261" t="s">
        <v>153</v>
      </c>
      <c r="AG45" s="261" t="s">
        <v>159</v>
      </c>
    </row>
    <row r="46">
      <c r="F46" s="261" t="s">
        <v>165</v>
      </c>
      <c r="G46" s="246" t="s">
        <v>193</v>
      </c>
      <c r="I46" s="261" t="s">
        <v>154</v>
      </c>
      <c r="J46" s="248" t="s">
        <v>193</v>
      </c>
      <c r="L46" s="261" t="s">
        <v>155</v>
      </c>
      <c r="M46" s="248" t="s">
        <v>193</v>
      </c>
      <c r="O46" s="261" t="s">
        <v>164</v>
      </c>
      <c r="P46" s="243" t="s">
        <v>193</v>
      </c>
      <c r="U46" s="243" t="s">
        <v>139</v>
      </c>
      <c r="V46" s="243" t="s">
        <v>193</v>
      </c>
      <c r="W46" s="243" t="s">
        <v>203</v>
      </c>
      <c r="X46" s="243" t="s">
        <v>169</v>
      </c>
      <c r="Y46" s="243">
        <v>10.5</v>
      </c>
      <c r="AA46" s="243" t="s">
        <v>143</v>
      </c>
      <c r="AD46" s="243" t="s">
        <v>139</v>
      </c>
      <c r="AG46" s="261" t="s">
        <v>60</v>
      </c>
    </row>
    <row r="47">
      <c r="F47" s="261" t="s">
        <v>118</v>
      </c>
      <c r="G47" s="246" t="s">
        <v>193</v>
      </c>
      <c r="I47" s="261" t="s">
        <v>146</v>
      </c>
      <c r="J47" s="248" t="s">
        <v>193</v>
      </c>
      <c r="L47" s="261" t="s">
        <v>159</v>
      </c>
      <c r="M47" s="248" t="s">
        <v>193</v>
      </c>
      <c r="O47" s="261" t="s">
        <v>150</v>
      </c>
      <c r="P47" s="243" t="s">
        <v>193</v>
      </c>
      <c r="U47" s="243" t="s">
        <v>143</v>
      </c>
      <c r="V47" s="243" t="s">
        <v>193</v>
      </c>
      <c r="W47" s="243" t="s">
        <v>204</v>
      </c>
      <c r="X47" s="261" t="s">
        <v>162</v>
      </c>
      <c r="Y47" s="243">
        <v>11.4</v>
      </c>
      <c r="AA47" s="261" t="s">
        <v>142</v>
      </c>
      <c r="AD47" s="261" t="s">
        <v>158</v>
      </c>
      <c r="AG47" s="261" t="s">
        <v>149</v>
      </c>
    </row>
    <row r="48">
      <c r="I48" s="261" t="s">
        <v>165</v>
      </c>
      <c r="J48" s="248" t="s">
        <v>193</v>
      </c>
      <c r="L48" s="261" t="s">
        <v>118</v>
      </c>
      <c r="M48" s="248" t="s">
        <v>193</v>
      </c>
      <c r="O48" s="261" t="s">
        <v>146</v>
      </c>
      <c r="P48" s="243" t="s">
        <v>193</v>
      </c>
      <c r="U48" s="261" t="s">
        <v>146</v>
      </c>
      <c r="V48" s="243" t="s">
        <v>193</v>
      </c>
      <c r="W48" s="243" t="s">
        <v>205</v>
      </c>
      <c r="X48" s="243" t="s">
        <v>170</v>
      </c>
      <c r="Y48" s="243">
        <v>11.59</v>
      </c>
      <c r="AA48" s="261" t="s">
        <v>165</v>
      </c>
      <c r="AD48" s="261" t="s">
        <v>142</v>
      </c>
      <c r="AG48" s="261" t="s">
        <v>163</v>
      </c>
    </row>
    <row r="49">
      <c r="L49" s="261" t="s">
        <v>154</v>
      </c>
      <c r="M49" s="248" t="s">
        <v>193</v>
      </c>
      <c r="O49" s="261" t="s">
        <v>163</v>
      </c>
      <c r="P49" s="243" t="s">
        <v>193</v>
      </c>
      <c r="U49" s="261" t="s">
        <v>163</v>
      </c>
      <c r="V49" s="243" t="s">
        <v>193</v>
      </c>
      <c r="W49" s="243" t="s">
        <v>206</v>
      </c>
      <c r="X49" s="243" t="s">
        <v>176</v>
      </c>
      <c r="Y49" s="243">
        <v>21.6</v>
      </c>
      <c r="AA49" s="261" t="s">
        <v>163</v>
      </c>
      <c r="AD49" s="261" t="s">
        <v>163</v>
      </c>
      <c r="AG49" s="261" t="s">
        <v>142</v>
      </c>
    </row>
    <row r="50">
      <c r="L50" s="261" t="s">
        <v>146</v>
      </c>
      <c r="M50" s="248" t="s">
        <v>193</v>
      </c>
      <c r="W50" s="243" t="s">
        <v>207</v>
      </c>
      <c r="X50" s="243" t="s">
        <v>174</v>
      </c>
      <c r="Y50" s="243">
        <v>27.3</v>
      </c>
    </row>
    <row r="51">
      <c r="X51" s="261" t="s">
        <v>149</v>
      </c>
    </row>
    <row r="52">
      <c r="X52" s="261" t="s">
        <v>164</v>
      </c>
    </row>
    <row r="53">
      <c r="X53" s="243" t="s">
        <v>143</v>
      </c>
    </row>
    <row r="54">
      <c r="X54" s="261" t="s">
        <v>146</v>
      </c>
    </row>
    <row r="55">
      <c r="X55" s="261" t="s">
        <v>163</v>
      </c>
    </row>
    <row r="56"/>
    <row r="57"/>
    <row r="58"/>
    <row r="59">
      <c r="B59" s="265"/>
      <c r="C59" s="266">
        <v>45219.0</v>
      </c>
      <c r="D59" s="266">
        <v>45226.0</v>
      </c>
      <c r="E59" s="266">
        <v>45233.0</v>
      </c>
      <c r="F59" s="266">
        <v>45240.0</v>
      </c>
      <c r="G59" s="238">
        <v>45247.0</v>
      </c>
      <c r="H59" s="242">
        <v>45254.0</v>
      </c>
      <c r="I59" s="241">
        <v>45261.0</v>
      </c>
      <c r="J59" s="241">
        <v>45268.0</v>
      </c>
      <c r="K59" s="242">
        <v>45275.0</v>
      </c>
      <c r="L59" s="239"/>
    </row>
    <row r="60">
      <c r="B60" s="243" t="s">
        <v>139</v>
      </c>
      <c r="C60" s="258">
        <v>25.0</v>
      </c>
      <c r="D60" s="258">
        <v>25.0</v>
      </c>
      <c r="E60" s="258">
        <v>25.0</v>
      </c>
      <c r="F60" s="258">
        <v>25.0</v>
      </c>
      <c r="G60" s="243">
        <v>5.26</v>
      </c>
      <c r="H60" s="243">
        <v>5.26</v>
      </c>
      <c r="I60" s="243">
        <v>5.26</v>
      </c>
      <c r="J60" s="243">
        <v>5.83</v>
      </c>
      <c r="K60" s="243">
        <v>5.83</v>
      </c>
    </row>
    <row r="61">
      <c r="B61" s="261" t="s">
        <v>142</v>
      </c>
      <c r="C61" s="258">
        <v>25.0</v>
      </c>
      <c r="D61" s="246">
        <v>5.75</v>
      </c>
      <c r="E61" s="248">
        <v>5.6</v>
      </c>
      <c r="F61" s="248">
        <v>5.6</v>
      </c>
      <c r="G61" s="243">
        <v>5.54</v>
      </c>
      <c r="H61" s="243">
        <v>5.85</v>
      </c>
      <c r="I61" s="243">
        <v>5.45</v>
      </c>
      <c r="J61" s="243">
        <v>5.56</v>
      </c>
      <c r="K61" s="243">
        <v>5.56</v>
      </c>
    </row>
    <row r="62">
      <c r="B62" s="243" t="s">
        <v>143</v>
      </c>
      <c r="C62" s="258">
        <v>25.0</v>
      </c>
      <c r="D62" s="258">
        <v>25.0</v>
      </c>
      <c r="E62" s="248">
        <v>6.24</v>
      </c>
      <c r="F62" s="243">
        <v>6.14</v>
      </c>
      <c r="G62" s="243">
        <v>6.45</v>
      </c>
      <c r="H62" s="243">
        <v>6.53</v>
      </c>
      <c r="I62" s="243">
        <v>6.53</v>
      </c>
      <c r="J62" s="243">
        <v>6.53</v>
      </c>
      <c r="K62" s="243">
        <v>6.53</v>
      </c>
    </row>
    <row r="63">
      <c r="B63" s="261" t="s">
        <v>145</v>
      </c>
      <c r="C63" s="246">
        <v>7.76</v>
      </c>
      <c r="D63" s="258">
        <v>7.76</v>
      </c>
      <c r="E63" s="248">
        <v>7.26</v>
      </c>
      <c r="F63" s="243">
        <v>6.14</v>
      </c>
      <c r="G63" s="243">
        <v>6.81</v>
      </c>
      <c r="H63" s="243">
        <v>6.6</v>
      </c>
      <c r="I63" s="243">
        <v>6.79</v>
      </c>
      <c r="J63" s="243">
        <v>7.75</v>
      </c>
      <c r="K63" s="243">
        <v>6.03</v>
      </c>
    </row>
    <row r="64">
      <c r="B64" s="261" t="s">
        <v>146</v>
      </c>
      <c r="C64" s="246">
        <v>7.66</v>
      </c>
      <c r="D64" s="246">
        <v>7.66</v>
      </c>
      <c r="E64" s="246">
        <v>7.66</v>
      </c>
      <c r="F64" s="246">
        <v>7.66</v>
      </c>
      <c r="G64" s="246">
        <v>7.66</v>
      </c>
      <c r="H64" s="246">
        <v>7.66</v>
      </c>
      <c r="I64" s="246">
        <v>7.66</v>
      </c>
      <c r="J64" s="246">
        <v>7.66</v>
      </c>
      <c r="K64" s="243">
        <v>6.35</v>
      </c>
    </row>
    <row r="65">
      <c r="B65" s="261" t="s">
        <v>149</v>
      </c>
      <c r="C65" s="246">
        <v>10.97</v>
      </c>
      <c r="D65" s="246">
        <v>11.69</v>
      </c>
      <c r="E65" s="248">
        <v>7.61</v>
      </c>
      <c r="F65" s="248">
        <v>7.61</v>
      </c>
      <c r="G65" s="243">
        <v>8.06</v>
      </c>
      <c r="H65" s="243">
        <v>8.06</v>
      </c>
      <c r="I65" s="243">
        <v>8.05</v>
      </c>
      <c r="J65" s="243">
        <v>8.05</v>
      </c>
      <c r="K65" s="243">
        <v>6.43</v>
      </c>
    </row>
    <row r="66">
      <c r="B66" s="261" t="s">
        <v>150</v>
      </c>
      <c r="C66" s="246">
        <v>6.47</v>
      </c>
      <c r="D66" s="246">
        <v>7.6</v>
      </c>
      <c r="E66" s="248">
        <v>7.55</v>
      </c>
      <c r="F66" s="243">
        <v>7.02</v>
      </c>
      <c r="G66" s="243">
        <v>7.02</v>
      </c>
      <c r="H66" s="243">
        <v>7.48</v>
      </c>
      <c r="I66" s="243">
        <v>7.9</v>
      </c>
      <c r="J66" s="243">
        <v>7.6</v>
      </c>
      <c r="K66" s="243">
        <v>14.0</v>
      </c>
    </row>
    <row r="67">
      <c r="B67" s="261" t="s">
        <v>153</v>
      </c>
      <c r="C67" s="246">
        <v>7.02</v>
      </c>
      <c r="D67" s="246">
        <v>7.02</v>
      </c>
      <c r="E67" s="248">
        <v>6.86</v>
      </c>
      <c r="F67" s="243">
        <v>7.01</v>
      </c>
      <c r="G67" s="243">
        <v>6.89</v>
      </c>
      <c r="H67" s="243">
        <v>9.13</v>
      </c>
      <c r="I67" s="243">
        <v>7.15</v>
      </c>
      <c r="J67" s="243">
        <v>8.46</v>
      </c>
      <c r="K67" s="243">
        <v>16.35</v>
      </c>
    </row>
    <row r="68">
      <c r="B68" s="261" t="s">
        <v>154</v>
      </c>
      <c r="C68" s="246">
        <v>15.18</v>
      </c>
      <c r="D68" s="246">
        <v>15.18</v>
      </c>
      <c r="E68" s="246">
        <v>15.18</v>
      </c>
      <c r="F68" s="246">
        <v>15.18</v>
      </c>
      <c r="G68" s="243">
        <v>11.24</v>
      </c>
      <c r="H68" s="243">
        <v>9.77</v>
      </c>
      <c r="I68" s="243">
        <v>7.72</v>
      </c>
      <c r="J68" s="243">
        <v>8.6</v>
      </c>
      <c r="K68" s="243">
        <v>7.18</v>
      </c>
    </row>
    <row r="69">
      <c r="B69" s="261" t="s">
        <v>155</v>
      </c>
      <c r="C69" s="246">
        <v>10.9</v>
      </c>
      <c r="D69" s="246">
        <v>8.4</v>
      </c>
      <c r="E69" s="248">
        <v>9.38</v>
      </c>
      <c r="F69" s="243">
        <v>7.36</v>
      </c>
      <c r="G69" s="243">
        <v>12.61</v>
      </c>
      <c r="H69" s="243">
        <v>12.61</v>
      </c>
      <c r="I69" s="243">
        <v>8.51</v>
      </c>
      <c r="J69" s="243">
        <v>7.57</v>
      </c>
      <c r="K69" s="243">
        <v>8.55</v>
      </c>
    </row>
    <row r="70">
      <c r="B70" s="261" t="s">
        <v>118</v>
      </c>
      <c r="C70" s="246">
        <v>9.52</v>
      </c>
      <c r="D70" s="246">
        <v>9.52</v>
      </c>
      <c r="E70" s="248">
        <v>14.1</v>
      </c>
      <c r="F70" s="248">
        <v>14.1</v>
      </c>
      <c r="G70" s="243">
        <v>10.25</v>
      </c>
      <c r="H70" s="243">
        <v>8.25</v>
      </c>
      <c r="I70" s="243">
        <v>8.31</v>
      </c>
      <c r="J70" s="243">
        <v>7.82</v>
      </c>
      <c r="K70" s="243">
        <v>7.42</v>
      </c>
    </row>
    <row r="71">
      <c r="B71" s="261" t="s">
        <v>158</v>
      </c>
      <c r="C71" s="246">
        <v>9.14</v>
      </c>
      <c r="D71" s="246">
        <v>9.14</v>
      </c>
      <c r="E71" s="248">
        <v>8.61</v>
      </c>
      <c r="F71" s="243">
        <v>8.08</v>
      </c>
      <c r="G71" s="243">
        <v>7.5</v>
      </c>
      <c r="H71" s="243">
        <v>7.5</v>
      </c>
      <c r="I71" s="243">
        <v>7.61</v>
      </c>
      <c r="J71" s="243">
        <v>7.59</v>
      </c>
      <c r="K71" s="243">
        <v>7.59</v>
      </c>
    </row>
    <row r="72">
      <c r="B72" s="261" t="s">
        <v>159</v>
      </c>
      <c r="C72" s="246">
        <v>8.2</v>
      </c>
      <c r="D72" s="246">
        <v>8.41</v>
      </c>
      <c r="E72" s="248">
        <v>9.8</v>
      </c>
      <c r="F72" s="248">
        <v>9.8</v>
      </c>
      <c r="G72" s="243">
        <v>9.25</v>
      </c>
      <c r="H72" s="243">
        <v>8.8</v>
      </c>
      <c r="I72" s="243">
        <v>9.44</v>
      </c>
      <c r="J72" s="243">
        <v>9.86</v>
      </c>
      <c r="K72" s="243">
        <v>7.72</v>
      </c>
    </row>
    <row r="73">
      <c r="B73" s="261" t="s">
        <v>160</v>
      </c>
      <c r="C73" s="243">
        <v>25.0</v>
      </c>
      <c r="D73" s="246">
        <v>16.75</v>
      </c>
      <c r="E73" s="248">
        <v>15.94</v>
      </c>
      <c r="F73" s="243">
        <v>11.44</v>
      </c>
      <c r="G73" s="243">
        <v>10.14</v>
      </c>
      <c r="H73" s="243">
        <v>10.14</v>
      </c>
      <c r="I73" s="243">
        <v>10.84</v>
      </c>
      <c r="J73" s="243">
        <v>10.16</v>
      </c>
      <c r="K73" s="243">
        <v>7.87</v>
      </c>
    </row>
    <row r="74">
      <c r="B74" s="261" t="s">
        <v>162</v>
      </c>
      <c r="C74" s="246">
        <v>18.35</v>
      </c>
      <c r="D74" s="246">
        <v>18.35</v>
      </c>
      <c r="E74" s="246">
        <v>18.35</v>
      </c>
      <c r="F74" s="243">
        <v>12.45</v>
      </c>
      <c r="G74" s="243">
        <v>12.16</v>
      </c>
      <c r="H74" s="243">
        <v>11.07</v>
      </c>
      <c r="I74" s="243">
        <v>13.54</v>
      </c>
      <c r="J74" s="243">
        <v>11.4</v>
      </c>
      <c r="K74" s="243">
        <v>8.06</v>
      </c>
    </row>
    <row r="75">
      <c r="B75" s="261" t="s">
        <v>60</v>
      </c>
      <c r="C75" s="246">
        <v>17.96</v>
      </c>
      <c r="D75" s="246">
        <v>11.13</v>
      </c>
      <c r="E75" s="248">
        <v>9.09</v>
      </c>
      <c r="F75" s="248">
        <v>9.09</v>
      </c>
      <c r="G75" s="243">
        <v>8.87</v>
      </c>
      <c r="H75" s="248">
        <v>9.9</v>
      </c>
      <c r="I75" s="243">
        <v>12.14</v>
      </c>
      <c r="J75" s="243">
        <v>8.15</v>
      </c>
      <c r="K75" s="243">
        <v>9.46</v>
      </c>
    </row>
    <row r="76">
      <c r="B76" s="261" t="s">
        <v>163</v>
      </c>
      <c r="C76" s="243">
        <v>25.0</v>
      </c>
      <c r="D76" s="246">
        <v>17.32</v>
      </c>
      <c r="E76" s="248">
        <v>8.84</v>
      </c>
      <c r="F76" s="248">
        <v>8.84</v>
      </c>
      <c r="G76" s="248">
        <v>8.84</v>
      </c>
      <c r="H76" s="248">
        <v>8.84</v>
      </c>
      <c r="I76" s="248">
        <v>8.84</v>
      </c>
      <c r="J76" s="248">
        <v>8.84</v>
      </c>
      <c r="K76" s="248">
        <v>8.84</v>
      </c>
    </row>
    <row r="77">
      <c r="B77" s="261" t="s">
        <v>164</v>
      </c>
      <c r="C77" s="258">
        <v>25.0</v>
      </c>
      <c r="D77" s="258">
        <v>25.0</v>
      </c>
      <c r="E77" s="258">
        <v>25.0</v>
      </c>
      <c r="F77" s="243">
        <v>11.1</v>
      </c>
      <c r="G77" s="243">
        <v>11.1</v>
      </c>
      <c r="H77" s="243">
        <v>11.1</v>
      </c>
      <c r="I77" s="243">
        <v>10.36</v>
      </c>
      <c r="J77" s="243">
        <v>10.36</v>
      </c>
      <c r="K77" s="243">
        <v>8.92</v>
      </c>
    </row>
    <row r="78">
      <c r="B78" s="261" t="s">
        <v>165</v>
      </c>
      <c r="C78" s="246">
        <v>12.37</v>
      </c>
      <c r="D78" s="246">
        <v>12.37</v>
      </c>
      <c r="E78" s="246">
        <v>12.37</v>
      </c>
      <c r="F78" s="243">
        <v>18.0</v>
      </c>
      <c r="G78" s="243">
        <v>10.4</v>
      </c>
      <c r="H78" s="243">
        <v>17.05</v>
      </c>
      <c r="I78" s="243">
        <v>9.94</v>
      </c>
      <c r="J78" s="243">
        <v>9.46</v>
      </c>
      <c r="K78" s="243">
        <v>9.46</v>
      </c>
    </row>
    <row r="79"/>
    <row r="80"/>
    <row r="81"/>
    <row r="82"/>
    <row r="83"/>
    <row r="84"/>
    <row r="85"/>
    <row r="86">
      <c r="B86" s="267"/>
      <c r="C86" s="268"/>
    </row>
    <row r="87">
      <c r="B87" s="268"/>
    </row>
    <row r="88">
      <c r="B88" s="268"/>
    </row>
    <row r="89">
      <c r="B89" s="268"/>
    </row>
    <row r="90">
      <c r="B90" s="269"/>
    </row>
    <row r="91">
      <c r="B91" s="269"/>
    </row>
    <row r="92">
      <c r="B92" s="239"/>
    </row>
    <row r="93">
      <c r="B93" s="270"/>
    </row>
    <row r="94">
      <c r="B94" s="270"/>
    </row>
    <row r="95">
      <c r="B95" s="239"/>
    </row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autoFilter ref="$AD$30:$AE$49">
    <sortState ref="AD30:AE49">
      <sortCondition ref="AE30:AE49"/>
    </sortState>
  </autoFilter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sheetData>
    <row r="1">
      <c r="A1" s="271" t="s">
        <v>0</v>
      </c>
      <c r="B1" s="272" t="s">
        <v>132</v>
      </c>
      <c r="C1" s="273">
        <v>2023.0</v>
      </c>
      <c r="D1" s="274">
        <v>45303.0</v>
      </c>
      <c r="E1" s="271" t="s">
        <v>4</v>
      </c>
      <c r="F1" s="275">
        <v>45317.0</v>
      </c>
      <c r="G1" s="268" t="s">
        <v>4</v>
      </c>
      <c r="H1" s="273" t="s">
        <v>135</v>
      </c>
      <c r="I1" s="274">
        <v>45338.0</v>
      </c>
      <c r="J1" s="268" t="s">
        <v>4</v>
      </c>
      <c r="K1" s="273" t="s">
        <v>135</v>
      </c>
      <c r="L1" s="274">
        <v>45345.0</v>
      </c>
      <c r="M1" s="268" t="s">
        <v>138</v>
      </c>
      <c r="N1" s="273" t="s">
        <v>135</v>
      </c>
      <c r="O1" s="276">
        <v>45352.0</v>
      </c>
      <c r="P1" s="277" t="s">
        <v>4</v>
      </c>
      <c r="Q1" s="273" t="s">
        <v>135</v>
      </c>
      <c r="R1" s="278">
        <v>45359.0</v>
      </c>
      <c r="S1" s="243" t="s">
        <v>4</v>
      </c>
      <c r="T1" s="244" t="s">
        <v>135</v>
      </c>
      <c r="U1" s="278">
        <v>45387.0</v>
      </c>
      <c r="V1" s="243" t="s">
        <v>4</v>
      </c>
      <c r="W1" s="244" t="s">
        <v>135</v>
      </c>
      <c r="X1" s="278">
        <v>45394.0</v>
      </c>
      <c r="Y1" s="243" t="s">
        <v>4</v>
      </c>
      <c r="Z1" s="244" t="s">
        <v>135</v>
      </c>
      <c r="AA1" s="278">
        <v>45407.0</v>
      </c>
      <c r="AB1" s="243" t="s">
        <v>4</v>
      </c>
      <c r="AC1" s="244" t="s">
        <v>135</v>
      </c>
      <c r="AD1" s="278">
        <v>45415.0</v>
      </c>
      <c r="AE1" s="243" t="s">
        <v>4</v>
      </c>
      <c r="AF1" s="243" t="s">
        <v>135</v>
      </c>
      <c r="AG1" s="279">
        <v>45422.0</v>
      </c>
      <c r="AH1" s="243" t="s">
        <v>4</v>
      </c>
      <c r="AI1" s="244" t="s">
        <v>135</v>
      </c>
      <c r="AJ1" s="280">
        <v>45443.0</v>
      </c>
      <c r="AK1" s="243" t="s">
        <v>4</v>
      </c>
      <c r="AL1" s="243" t="s">
        <v>135</v>
      </c>
      <c r="AM1" s="281">
        <v>45449.0</v>
      </c>
      <c r="AN1" s="243" t="s">
        <v>4</v>
      </c>
      <c r="AO1" s="243" t="s">
        <v>135</v>
      </c>
    </row>
    <row r="2">
      <c r="A2" s="282" t="s">
        <v>139</v>
      </c>
      <c r="B2" s="283">
        <f t="shared" ref="B2:B20" si="1">(MIN(C2,D2,F2,I2,L2,O2,R2,U2,X2,AA2,AD2,AG2,AJ2,AM2))</f>
        <v>3.26</v>
      </c>
      <c r="C2" s="282">
        <v>5.26</v>
      </c>
      <c r="D2" s="284"/>
      <c r="E2" s="282" t="s">
        <v>208</v>
      </c>
      <c r="F2" s="284"/>
      <c r="G2" s="284"/>
      <c r="H2" s="285"/>
      <c r="I2" s="286"/>
      <c r="J2" s="287" t="s">
        <v>26</v>
      </c>
      <c r="K2" s="282"/>
      <c r="L2" s="288"/>
      <c r="M2" s="288" t="s">
        <v>141</v>
      </c>
      <c r="N2" s="289"/>
      <c r="O2" s="284"/>
      <c r="P2" s="288" t="s">
        <v>141</v>
      </c>
      <c r="Q2" s="285">
        <f t="shared" ref="Q2:Q20" si="2">IF(O2&gt;0, O2 - MIN(C2,D2,F2,I2,L2), 0)</f>
        <v>0</v>
      </c>
      <c r="R2" s="284"/>
      <c r="S2" s="288" t="s">
        <v>209</v>
      </c>
      <c r="T2" s="290">
        <f t="shared" ref="T2:T20" si="3">IF(R2&gt;0, R2 - MIN(D2,F2,I2,L2,O2), 0)</f>
        <v>0</v>
      </c>
      <c r="U2" s="288">
        <v>4.11</v>
      </c>
      <c r="V2" s="284"/>
      <c r="W2" s="290">
        <f>IF(U2&gt;0, U2 - MIN(C2,D2,F2,I2,L2,O2,R2), 0)</f>
        <v>-1.15</v>
      </c>
      <c r="X2" s="284"/>
      <c r="Y2" s="288" t="s">
        <v>96</v>
      </c>
      <c r="Z2" s="285">
        <f>IF(X2&gt;0, X2 - MIN(#REF!,F2,I2,L2,O2,R2,U2), 0)</f>
        <v>0</v>
      </c>
      <c r="AA2" s="288">
        <v>3.79</v>
      </c>
      <c r="AB2" s="284"/>
      <c r="AC2" s="290">
        <f t="shared" ref="AC2:AC11" si="4">IF(AA2&gt;0, AA2 - MIN(D2,F2,I2,L2,O2,R2,U2,X2), 0)</f>
        <v>-0.32</v>
      </c>
      <c r="AD2" s="284"/>
      <c r="AE2" s="288" t="s">
        <v>141</v>
      </c>
      <c r="AF2" s="285">
        <f>IF(AD2&gt;0, AD2 - MIN(#REF!,F2,I2,L2,O2,R2,U2,X2,AA2), 0)</f>
        <v>0</v>
      </c>
      <c r="AG2" s="288">
        <v>3.45</v>
      </c>
      <c r="AH2" s="284"/>
      <c r="AI2" s="252">
        <f t="shared" ref="AI2:AI11" si="5">IF(AG2&gt;0, AG2 - MIN(D2,F2,I2,L2,O2,R2,U2,X2,AA2,AD2), 0)</f>
        <v>-0.34</v>
      </c>
      <c r="AJ2" s="255"/>
      <c r="AK2" s="291" t="s">
        <v>141</v>
      </c>
      <c r="AL2" s="255">
        <f t="shared" ref="AL2:AL20" si="6">IF(AJ2&gt;0, AJ2 - MIN(D2,F2,I2,L2,O2,R2,U2,X2,AA2,AD2,AG2), 0)</f>
        <v>0</v>
      </c>
      <c r="AM2" s="292">
        <v>3.26</v>
      </c>
      <c r="AN2" s="255"/>
      <c r="AO2" s="255">
        <f t="shared" ref="AO2:AO20" si="7">IF(AM2&gt;0, AM2 - MIN(D2,F2,I2,L2,O2,R2,U2,X2,AA2,AD2,AG2,AJ2), 0)</f>
        <v>-0.19</v>
      </c>
    </row>
    <row r="3">
      <c r="A3" s="247" t="s">
        <v>146</v>
      </c>
      <c r="B3" s="245">
        <f t="shared" si="1"/>
        <v>4</v>
      </c>
      <c r="C3" s="293">
        <v>6.35</v>
      </c>
      <c r="D3" s="246"/>
      <c r="E3" s="244" t="s">
        <v>208</v>
      </c>
      <c r="F3" s="254"/>
      <c r="H3" s="247"/>
      <c r="I3" s="250"/>
      <c r="J3" s="294" t="s">
        <v>26</v>
      </c>
      <c r="K3" s="244">
        <f t="shared" ref="K3:K9" si="8">IF(I3&gt;0, I3 - IF(MIN(D3,F3)&gt;0,MIN(D3,F3),I3), 0)</f>
        <v>0</v>
      </c>
      <c r="L3" s="243">
        <v>5.63</v>
      </c>
      <c r="N3" s="259">
        <f t="shared" ref="N3:N20" si="9">IF(L3&gt;0, L3 - MIN(D3,F3,I3), 0)</f>
        <v>5.63</v>
      </c>
      <c r="O3" s="243">
        <v>4.87</v>
      </c>
      <c r="Q3" s="250">
        <f t="shared" si="2"/>
        <v>-0.76</v>
      </c>
      <c r="R3" s="260">
        <v>5.16</v>
      </c>
      <c r="T3" s="257">
        <f t="shared" si="3"/>
        <v>0.29</v>
      </c>
      <c r="U3" s="248">
        <v>4.7</v>
      </c>
      <c r="W3" s="257">
        <f t="shared" ref="W3:W4" si="10">IF(U3&gt;0, U3 - MIN(D3,F3,I3,L3,O3,R3), 0)</f>
        <v>-0.17</v>
      </c>
      <c r="Y3" s="243" t="s">
        <v>26</v>
      </c>
      <c r="Z3" s="247">
        <f t="shared" ref="Z3:Z11" si="11">IF(X3&gt;0, X3 - MIN(D3,F3,I3,L3,O3,R3,U3), 0)</f>
        <v>0</v>
      </c>
      <c r="AA3" s="243">
        <v>4.62</v>
      </c>
      <c r="AC3" s="257">
        <f t="shared" si="4"/>
        <v>-0.08</v>
      </c>
      <c r="AE3" s="243" t="s">
        <v>26</v>
      </c>
      <c r="AF3" s="261">
        <f t="shared" ref="AF3:AF11" si="12">IF(AD3&gt;0, AD3 - MIN(D3,F3,I3,L3,O3,R3,U3,X3,AA3), 0)</f>
        <v>0</v>
      </c>
      <c r="AG3" s="254"/>
      <c r="AH3" s="243" t="s">
        <v>26</v>
      </c>
      <c r="AI3" s="252">
        <f t="shared" si="5"/>
        <v>0</v>
      </c>
      <c r="AJ3" s="291">
        <v>4.37</v>
      </c>
      <c r="AK3" s="255"/>
      <c r="AL3" s="295">
        <f t="shared" si="6"/>
        <v>-0.25</v>
      </c>
      <c r="AM3" s="296">
        <v>4.0</v>
      </c>
      <c r="AN3" s="255"/>
      <c r="AO3" s="295">
        <f t="shared" si="7"/>
        <v>-0.37</v>
      </c>
    </row>
    <row r="4">
      <c r="A4" s="247" t="s">
        <v>142</v>
      </c>
      <c r="B4" s="245">
        <f t="shared" si="1"/>
        <v>4.64</v>
      </c>
      <c r="C4" s="293">
        <v>5.45</v>
      </c>
      <c r="D4" s="246"/>
      <c r="E4" s="244" t="s">
        <v>208</v>
      </c>
      <c r="F4" s="254"/>
      <c r="H4" s="247"/>
      <c r="I4" s="248"/>
      <c r="J4" s="294" t="s">
        <v>26</v>
      </c>
      <c r="K4" s="244">
        <f t="shared" si="8"/>
        <v>0</v>
      </c>
      <c r="L4" s="243">
        <v>5.63</v>
      </c>
      <c r="N4" s="259">
        <f t="shared" si="9"/>
        <v>5.63</v>
      </c>
      <c r="P4" s="243" t="s">
        <v>26</v>
      </c>
      <c r="Q4" s="247">
        <f t="shared" si="2"/>
        <v>0</v>
      </c>
      <c r="S4" s="243" t="s">
        <v>26</v>
      </c>
      <c r="T4" s="252">
        <f t="shared" si="3"/>
        <v>0</v>
      </c>
      <c r="V4" s="243" t="s">
        <v>26</v>
      </c>
      <c r="W4" s="252">
        <f t="shared" si="10"/>
        <v>0</v>
      </c>
      <c r="X4" s="243">
        <v>4.69</v>
      </c>
      <c r="Z4" s="253">
        <f t="shared" si="11"/>
        <v>-0.94</v>
      </c>
      <c r="AB4" s="243" t="s">
        <v>96</v>
      </c>
      <c r="AC4" s="252">
        <f t="shared" si="4"/>
        <v>0</v>
      </c>
      <c r="AD4" s="243">
        <v>4.85</v>
      </c>
      <c r="AF4" s="250">
        <f t="shared" si="12"/>
        <v>0.16</v>
      </c>
      <c r="AG4" s="297">
        <v>5.3</v>
      </c>
      <c r="AI4" s="257">
        <f t="shared" si="5"/>
        <v>0.61</v>
      </c>
      <c r="AJ4" s="291">
        <v>4.64</v>
      </c>
      <c r="AK4" s="255"/>
      <c r="AL4" s="295">
        <f t="shared" si="6"/>
        <v>-0.05</v>
      </c>
      <c r="AM4" s="298"/>
      <c r="AN4" s="291" t="s">
        <v>141</v>
      </c>
      <c r="AO4" s="255">
        <f t="shared" si="7"/>
        <v>0</v>
      </c>
    </row>
    <row r="5">
      <c r="A5" s="247" t="s">
        <v>145</v>
      </c>
      <c r="B5" s="245">
        <f t="shared" si="1"/>
        <v>4.64</v>
      </c>
      <c r="C5" s="293">
        <v>6.03</v>
      </c>
      <c r="D5" s="246"/>
      <c r="E5" s="244" t="s">
        <v>208</v>
      </c>
      <c r="F5" s="254"/>
      <c r="H5" s="247"/>
      <c r="I5" s="248"/>
      <c r="J5" s="299" t="s">
        <v>26</v>
      </c>
      <c r="K5" s="244">
        <f t="shared" si="8"/>
        <v>0</v>
      </c>
      <c r="M5" s="300" t="s">
        <v>26</v>
      </c>
      <c r="N5" s="249">
        <f t="shared" si="9"/>
        <v>0</v>
      </c>
      <c r="P5" s="243" t="s">
        <v>26</v>
      </c>
      <c r="Q5" s="247">
        <f t="shared" si="2"/>
        <v>0</v>
      </c>
      <c r="S5" s="243" t="s">
        <v>26</v>
      </c>
      <c r="T5" s="252">
        <f t="shared" si="3"/>
        <v>0</v>
      </c>
      <c r="U5" s="243">
        <v>5.14</v>
      </c>
      <c r="W5" s="257">
        <f>IF(U5&gt;0, U5 - MIN(C5,D5,F5,I5,L5,O5,R5), 0)</f>
        <v>-0.89</v>
      </c>
      <c r="Y5" s="243" t="s">
        <v>26</v>
      </c>
      <c r="Z5" s="247">
        <f t="shared" si="11"/>
        <v>0</v>
      </c>
      <c r="AA5" s="243">
        <v>4.73</v>
      </c>
      <c r="AC5" s="257">
        <f t="shared" si="4"/>
        <v>-0.41</v>
      </c>
      <c r="AD5" s="243">
        <v>4.86</v>
      </c>
      <c r="AF5" s="250">
        <f t="shared" si="12"/>
        <v>0.13</v>
      </c>
      <c r="AG5" s="260">
        <v>5.12</v>
      </c>
      <c r="AH5" s="243" t="s">
        <v>140</v>
      </c>
      <c r="AI5" s="257">
        <f t="shared" si="5"/>
        <v>0.39</v>
      </c>
      <c r="AJ5" s="255"/>
      <c r="AK5" s="291" t="s">
        <v>26</v>
      </c>
      <c r="AL5" s="255">
        <f t="shared" si="6"/>
        <v>0</v>
      </c>
      <c r="AM5" s="292">
        <v>4.64</v>
      </c>
      <c r="AN5" s="255"/>
      <c r="AO5" s="295">
        <f t="shared" si="7"/>
        <v>-0.09</v>
      </c>
    </row>
    <row r="6">
      <c r="A6" s="244" t="s">
        <v>143</v>
      </c>
      <c r="B6" s="245">
        <f t="shared" si="1"/>
        <v>4.98</v>
      </c>
      <c r="C6" s="293">
        <v>5.53</v>
      </c>
      <c r="D6" s="258">
        <v>5.54</v>
      </c>
      <c r="E6" s="244" t="s">
        <v>208</v>
      </c>
      <c r="F6" s="260">
        <v>5.53</v>
      </c>
      <c r="H6" s="247"/>
      <c r="I6" s="248">
        <v>6.07</v>
      </c>
      <c r="K6" s="256">
        <f t="shared" si="8"/>
        <v>0.54</v>
      </c>
      <c r="M6" s="243" t="s">
        <v>26</v>
      </c>
      <c r="N6" s="249">
        <f t="shared" si="9"/>
        <v>0</v>
      </c>
      <c r="P6" s="243" t="s">
        <v>210</v>
      </c>
      <c r="Q6" s="247">
        <f t="shared" si="2"/>
        <v>0</v>
      </c>
      <c r="R6" s="243">
        <v>5.49</v>
      </c>
      <c r="T6" s="257">
        <f t="shared" si="3"/>
        <v>-0.04</v>
      </c>
      <c r="V6" s="243" t="s">
        <v>211</v>
      </c>
      <c r="W6" s="252">
        <f t="shared" ref="W6:W11" si="13">IF(U6&gt;0, U6 - MIN(D6,F6,I6,L6,O6,R6), 0)</f>
        <v>0</v>
      </c>
      <c r="X6" s="243">
        <v>6.17</v>
      </c>
      <c r="Z6" s="253">
        <f t="shared" si="11"/>
        <v>0.68</v>
      </c>
      <c r="AA6" s="243">
        <v>4.98</v>
      </c>
      <c r="AC6" s="257">
        <f t="shared" si="4"/>
        <v>-0.51</v>
      </c>
      <c r="AD6" s="243">
        <v>6.15</v>
      </c>
      <c r="AF6" s="250">
        <f t="shared" si="12"/>
        <v>1.17</v>
      </c>
      <c r="AG6" s="260">
        <v>14.23</v>
      </c>
      <c r="AH6" s="294" t="s">
        <v>212</v>
      </c>
      <c r="AI6" s="257">
        <f t="shared" si="5"/>
        <v>9.25</v>
      </c>
      <c r="AJ6" s="255"/>
      <c r="AK6" s="291" t="s">
        <v>26</v>
      </c>
      <c r="AL6" s="255">
        <f t="shared" si="6"/>
        <v>0</v>
      </c>
      <c r="AM6" s="292">
        <v>5.74</v>
      </c>
      <c r="AN6" s="255"/>
      <c r="AO6" s="295">
        <f t="shared" si="7"/>
        <v>0.76</v>
      </c>
    </row>
    <row r="7">
      <c r="A7" s="247" t="s">
        <v>154</v>
      </c>
      <c r="B7" s="245">
        <f t="shared" si="1"/>
        <v>5.34</v>
      </c>
      <c r="C7" s="293">
        <v>7.18</v>
      </c>
      <c r="D7" s="246"/>
      <c r="E7" s="244" t="s">
        <v>208</v>
      </c>
      <c r="F7" s="260">
        <v>8.55</v>
      </c>
      <c r="H7" s="247"/>
      <c r="I7" s="250"/>
      <c r="J7" s="243" t="s">
        <v>26</v>
      </c>
      <c r="K7" s="244">
        <f t="shared" si="8"/>
        <v>0</v>
      </c>
      <c r="M7" s="300" t="s">
        <v>26</v>
      </c>
      <c r="N7" s="249">
        <f t="shared" si="9"/>
        <v>0</v>
      </c>
      <c r="O7" s="243">
        <v>7.22</v>
      </c>
      <c r="Q7" s="253">
        <f t="shared" si="2"/>
        <v>0.04</v>
      </c>
      <c r="S7" s="243" t="s">
        <v>26</v>
      </c>
      <c r="T7" s="252">
        <f t="shared" si="3"/>
        <v>0</v>
      </c>
      <c r="V7" s="243" t="s">
        <v>26</v>
      </c>
      <c r="W7" s="252">
        <f t="shared" si="13"/>
        <v>0</v>
      </c>
      <c r="Y7" s="243" t="s">
        <v>96</v>
      </c>
      <c r="Z7" s="247">
        <f t="shared" si="11"/>
        <v>0</v>
      </c>
      <c r="AA7" s="243">
        <v>6.38</v>
      </c>
      <c r="AC7" s="257">
        <f t="shared" si="4"/>
        <v>-0.84</v>
      </c>
      <c r="AE7" s="243" t="s">
        <v>141</v>
      </c>
      <c r="AF7" s="261">
        <f t="shared" si="12"/>
        <v>0</v>
      </c>
      <c r="AG7" s="260">
        <v>6.16</v>
      </c>
      <c r="AI7" s="257">
        <f t="shared" si="5"/>
        <v>-0.22</v>
      </c>
      <c r="AJ7" s="255"/>
      <c r="AK7" s="291" t="s">
        <v>141</v>
      </c>
      <c r="AL7" s="255">
        <f t="shared" si="6"/>
        <v>0</v>
      </c>
      <c r="AM7" s="292">
        <v>5.34</v>
      </c>
      <c r="AN7" s="291"/>
      <c r="AO7" s="295">
        <f t="shared" si="7"/>
        <v>-0.82</v>
      </c>
    </row>
    <row r="8">
      <c r="A8" s="247" t="s">
        <v>118</v>
      </c>
      <c r="B8" s="245">
        <f t="shared" si="1"/>
        <v>5.42</v>
      </c>
      <c r="C8" s="293">
        <v>7.42</v>
      </c>
      <c r="D8" s="246"/>
      <c r="E8" s="244" t="s">
        <v>208</v>
      </c>
      <c r="F8" s="254"/>
      <c r="H8" s="247"/>
      <c r="I8" s="248"/>
      <c r="J8" s="294" t="s">
        <v>26</v>
      </c>
      <c r="K8" s="244">
        <f t="shared" si="8"/>
        <v>0</v>
      </c>
      <c r="L8" s="243">
        <v>6.8</v>
      </c>
      <c r="N8" s="259">
        <f t="shared" si="9"/>
        <v>6.8</v>
      </c>
      <c r="O8" s="243">
        <v>6.38</v>
      </c>
      <c r="Q8" s="253">
        <f t="shared" si="2"/>
        <v>-0.42</v>
      </c>
      <c r="S8" s="243" t="s">
        <v>141</v>
      </c>
      <c r="T8" s="252">
        <f t="shared" si="3"/>
        <v>0</v>
      </c>
      <c r="U8" s="243">
        <v>6.63</v>
      </c>
      <c r="W8" s="257">
        <f t="shared" si="13"/>
        <v>0.25</v>
      </c>
      <c r="X8" s="243">
        <v>5.42</v>
      </c>
      <c r="Z8" s="253">
        <f t="shared" si="11"/>
        <v>-0.96</v>
      </c>
      <c r="AA8" s="243">
        <v>5.44</v>
      </c>
      <c r="AC8" s="257">
        <f t="shared" si="4"/>
        <v>0.02</v>
      </c>
      <c r="AE8" s="243" t="s">
        <v>26</v>
      </c>
      <c r="AF8" s="261">
        <f t="shared" si="12"/>
        <v>0</v>
      </c>
      <c r="AG8" s="260">
        <v>6.47</v>
      </c>
      <c r="AH8" s="243"/>
      <c r="AI8" s="257">
        <f t="shared" si="5"/>
        <v>1.05</v>
      </c>
      <c r="AJ8" s="291">
        <v>5.65</v>
      </c>
      <c r="AK8" s="255"/>
      <c r="AL8" s="295">
        <f t="shared" si="6"/>
        <v>0.23</v>
      </c>
      <c r="AM8" s="292">
        <v>6.05</v>
      </c>
      <c r="AN8" s="255"/>
      <c r="AO8" s="295">
        <f t="shared" si="7"/>
        <v>0.63</v>
      </c>
    </row>
    <row r="9">
      <c r="A9" s="247" t="s">
        <v>165</v>
      </c>
      <c r="B9" s="245">
        <f t="shared" si="1"/>
        <v>5.44</v>
      </c>
      <c r="C9" s="293">
        <v>9.46</v>
      </c>
      <c r="D9" s="258">
        <v>12.97</v>
      </c>
      <c r="E9" s="244" t="s">
        <v>208</v>
      </c>
      <c r="F9" s="260"/>
      <c r="H9" s="247"/>
      <c r="I9" s="248">
        <v>9.18</v>
      </c>
      <c r="J9" s="243" t="s">
        <v>92</v>
      </c>
      <c r="K9" s="256">
        <f t="shared" si="8"/>
        <v>-3.79</v>
      </c>
      <c r="M9" s="300" t="s">
        <v>26</v>
      </c>
      <c r="N9" s="249">
        <f t="shared" si="9"/>
        <v>0</v>
      </c>
      <c r="P9" s="243" t="s">
        <v>26</v>
      </c>
      <c r="Q9" s="247">
        <f t="shared" si="2"/>
        <v>0</v>
      </c>
      <c r="S9" s="243" t="s">
        <v>26</v>
      </c>
      <c r="T9" s="252">
        <f t="shared" si="3"/>
        <v>0</v>
      </c>
      <c r="U9" s="243">
        <v>8.49</v>
      </c>
      <c r="V9" s="243" t="s">
        <v>213</v>
      </c>
      <c r="W9" s="257">
        <f t="shared" si="13"/>
        <v>-0.69</v>
      </c>
      <c r="X9" s="248">
        <v>5.7</v>
      </c>
      <c r="Y9" s="243" t="s">
        <v>110</v>
      </c>
      <c r="Z9" s="253">
        <f t="shared" si="11"/>
        <v>-2.79</v>
      </c>
      <c r="AA9" s="243">
        <v>5.44</v>
      </c>
      <c r="AC9" s="257">
        <f t="shared" si="4"/>
        <v>-0.26</v>
      </c>
      <c r="AE9" s="243" t="s">
        <v>26</v>
      </c>
      <c r="AF9" s="261">
        <f t="shared" si="12"/>
        <v>0</v>
      </c>
      <c r="AG9" s="260">
        <v>6.45</v>
      </c>
      <c r="AI9" s="257">
        <f t="shared" si="5"/>
        <v>1.01</v>
      </c>
      <c r="AJ9" s="291">
        <v>5.57</v>
      </c>
      <c r="AK9" s="291" t="s">
        <v>109</v>
      </c>
      <c r="AL9" s="295">
        <f t="shared" si="6"/>
        <v>0.13</v>
      </c>
      <c r="AM9" s="292">
        <v>6.43</v>
      </c>
      <c r="AN9" s="255"/>
      <c r="AO9" s="295">
        <f t="shared" si="7"/>
        <v>0.99</v>
      </c>
    </row>
    <row r="10">
      <c r="A10" s="247" t="s">
        <v>155</v>
      </c>
      <c r="B10" s="245">
        <f t="shared" si="1"/>
        <v>5.71</v>
      </c>
      <c r="C10" s="293">
        <v>7.36</v>
      </c>
      <c r="D10" s="258">
        <v>8.9</v>
      </c>
      <c r="E10" s="244" t="s">
        <v>208</v>
      </c>
      <c r="F10" s="260">
        <v>7.86</v>
      </c>
      <c r="H10" s="247">
        <v>-2.5</v>
      </c>
      <c r="I10" s="248">
        <v>7.82</v>
      </c>
      <c r="K10" s="256">
        <f>IF(I10&gt;0, I10 - IF(MIN(B10,F10)&gt;0,MIN(B10,F10),I10), 0)</f>
        <v>2.11</v>
      </c>
      <c r="L10" s="243">
        <v>6.63</v>
      </c>
      <c r="M10" s="243"/>
      <c r="N10" s="259">
        <f t="shared" si="9"/>
        <v>-1.19</v>
      </c>
      <c r="O10" s="243">
        <v>6.05</v>
      </c>
      <c r="Q10" s="253">
        <f t="shared" si="2"/>
        <v>-0.58</v>
      </c>
      <c r="R10" s="243">
        <v>7.05</v>
      </c>
      <c r="T10" s="257">
        <f t="shared" si="3"/>
        <v>1</v>
      </c>
      <c r="U10" s="243">
        <v>6.44</v>
      </c>
      <c r="W10" s="257">
        <f t="shared" si="13"/>
        <v>0.39</v>
      </c>
      <c r="X10" s="243">
        <v>6.11</v>
      </c>
      <c r="Z10" s="253">
        <f t="shared" si="11"/>
        <v>0.06</v>
      </c>
      <c r="AA10" s="243">
        <v>5.71</v>
      </c>
      <c r="AC10" s="257">
        <f t="shared" si="4"/>
        <v>-0.34</v>
      </c>
      <c r="AD10" s="243">
        <v>6.35</v>
      </c>
      <c r="AE10" s="243" t="s">
        <v>109</v>
      </c>
      <c r="AF10" s="250">
        <f t="shared" si="12"/>
        <v>0.64</v>
      </c>
      <c r="AG10" s="260"/>
      <c r="AH10" s="243" t="s">
        <v>92</v>
      </c>
      <c r="AI10" s="252">
        <f t="shared" si="5"/>
        <v>0</v>
      </c>
      <c r="AJ10" s="243">
        <v>5.83</v>
      </c>
      <c r="AK10" s="255"/>
      <c r="AL10" s="295">
        <f t="shared" si="6"/>
        <v>0.12</v>
      </c>
      <c r="AM10" s="298"/>
      <c r="AN10" s="291" t="s">
        <v>26</v>
      </c>
      <c r="AO10" s="255">
        <f t="shared" si="7"/>
        <v>0</v>
      </c>
    </row>
    <row r="11">
      <c r="A11" s="247" t="s">
        <v>149</v>
      </c>
      <c r="B11" s="245">
        <f t="shared" si="1"/>
        <v>5.8</v>
      </c>
      <c r="C11" s="293">
        <v>6.43</v>
      </c>
      <c r="D11" s="246"/>
      <c r="E11" s="244" t="s">
        <v>208</v>
      </c>
      <c r="F11" s="254"/>
      <c r="H11" s="247">
        <v>0.72</v>
      </c>
      <c r="I11" s="248"/>
      <c r="J11" s="299" t="s">
        <v>26</v>
      </c>
      <c r="K11" s="244">
        <f t="shared" ref="K11:K20" si="14">IF(I11&gt;0, I11 - IF(MIN(D11,F11)&gt;0,MIN(D11,F11),I11), 0)</f>
        <v>0</v>
      </c>
      <c r="M11" s="300" t="s">
        <v>26</v>
      </c>
      <c r="N11" s="249">
        <f t="shared" si="9"/>
        <v>0</v>
      </c>
      <c r="P11" s="243" t="s">
        <v>26</v>
      </c>
      <c r="Q11" s="247">
        <f t="shared" si="2"/>
        <v>0</v>
      </c>
      <c r="S11" s="243" t="s">
        <v>26</v>
      </c>
      <c r="T11" s="252">
        <f t="shared" si="3"/>
        <v>0</v>
      </c>
      <c r="V11" s="243" t="s">
        <v>26</v>
      </c>
      <c r="W11" s="252">
        <f t="shared" si="13"/>
        <v>0</v>
      </c>
      <c r="Y11" s="243" t="s">
        <v>26</v>
      </c>
      <c r="Z11" s="247">
        <f t="shared" si="11"/>
        <v>0</v>
      </c>
      <c r="AB11" s="243" t="s">
        <v>26</v>
      </c>
      <c r="AC11" s="252">
        <f t="shared" si="4"/>
        <v>0</v>
      </c>
      <c r="AE11" s="243" t="s">
        <v>26</v>
      </c>
      <c r="AF11" s="261">
        <f t="shared" si="12"/>
        <v>0</v>
      </c>
      <c r="AG11" s="254"/>
      <c r="AH11" s="243" t="s">
        <v>26</v>
      </c>
      <c r="AI11" s="252">
        <f t="shared" si="5"/>
        <v>0</v>
      </c>
      <c r="AJ11" s="255"/>
      <c r="AK11" s="291" t="s">
        <v>26</v>
      </c>
      <c r="AL11" s="255">
        <f t="shared" si="6"/>
        <v>0</v>
      </c>
      <c r="AM11" s="296">
        <v>5.8</v>
      </c>
      <c r="AN11" s="291" t="s">
        <v>25</v>
      </c>
      <c r="AO11" s="295">
        <f t="shared" si="7"/>
        <v>5.8</v>
      </c>
    </row>
    <row r="12">
      <c r="A12" s="247" t="s">
        <v>60</v>
      </c>
      <c r="B12" s="245">
        <f t="shared" si="1"/>
        <v>5.83</v>
      </c>
      <c r="C12" s="293">
        <v>8.15</v>
      </c>
      <c r="D12" s="246"/>
      <c r="E12" s="244" t="s">
        <v>208</v>
      </c>
      <c r="F12" s="254"/>
      <c r="G12" s="243" t="s">
        <v>214</v>
      </c>
      <c r="H12" s="247">
        <v>-6.83</v>
      </c>
      <c r="I12" s="248">
        <v>8.3</v>
      </c>
      <c r="J12" s="243" t="s">
        <v>140</v>
      </c>
      <c r="K12" s="256">
        <f t="shared" si="14"/>
        <v>0</v>
      </c>
      <c r="L12" s="243">
        <v>12.44</v>
      </c>
      <c r="M12" s="243" t="s">
        <v>38</v>
      </c>
      <c r="N12" s="259">
        <f t="shared" si="9"/>
        <v>4.14</v>
      </c>
      <c r="O12" s="243">
        <v>7.15</v>
      </c>
      <c r="P12" s="243" t="s">
        <v>140</v>
      </c>
      <c r="Q12" s="253">
        <f t="shared" si="2"/>
        <v>-1</v>
      </c>
      <c r="R12" s="248">
        <v>7.11</v>
      </c>
      <c r="T12" s="257">
        <f t="shared" si="3"/>
        <v>-0.04</v>
      </c>
      <c r="V12" s="243" t="s">
        <v>26</v>
      </c>
      <c r="W12" s="252">
        <f>IF(U12&gt;0, U12 - MIN(D12,F12,I12,L12,O11,R12), 0)</f>
        <v>0</v>
      </c>
      <c r="X12" s="243">
        <v>5.83</v>
      </c>
      <c r="Y12" s="243" t="s">
        <v>140</v>
      </c>
      <c r="Z12" s="253">
        <f>IF(X12&gt;0, X12 - MIN(D12,F12,I12,L12,O11,R12,U12), 0)</f>
        <v>-1.28</v>
      </c>
      <c r="AA12" s="248">
        <v>9.0</v>
      </c>
      <c r="AC12" s="257">
        <f>IF(AA12&gt;0, AA12 - MIN(D12,F12,I12,L12,O11,R12,U12,X12), 0)</f>
        <v>3.17</v>
      </c>
      <c r="AD12" s="243">
        <v>7.14</v>
      </c>
      <c r="AE12" s="243" t="s">
        <v>19</v>
      </c>
      <c r="AF12" s="250">
        <f>IF(AD12&gt;0, AD12 - MIN(D12,F12,I12,L12,O11,R12,U12,X12,AA12), 0)</f>
        <v>1.31</v>
      </c>
      <c r="AG12" s="260">
        <v>6.39</v>
      </c>
      <c r="AI12" s="257">
        <f>IF(AG12&gt;0, AG12 - MIN(D12,F12,I12,L12,O11,R12,U12,X12,AA12,AD12), 0)</f>
        <v>0.56</v>
      </c>
      <c r="AJ12" s="291">
        <v>7.85</v>
      </c>
      <c r="AK12" s="255"/>
      <c r="AL12" s="295">
        <f t="shared" si="6"/>
        <v>2.02</v>
      </c>
      <c r="AM12" s="292">
        <v>7.06</v>
      </c>
      <c r="AN12" s="291" t="s">
        <v>25</v>
      </c>
      <c r="AO12" s="295">
        <f t="shared" si="7"/>
        <v>1.23</v>
      </c>
    </row>
    <row r="13">
      <c r="A13" s="247" t="s">
        <v>164</v>
      </c>
      <c r="B13" s="245">
        <f t="shared" si="1"/>
        <v>5.9</v>
      </c>
      <c r="C13" s="293">
        <v>8.92</v>
      </c>
      <c r="D13" s="258">
        <v>10.3</v>
      </c>
      <c r="E13" s="244" t="s">
        <v>208</v>
      </c>
      <c r="F13" s="260">
        <v>9.62</v>
      </c>
      <c r="H13" s="247"/>
      <c r="I13" s="248">
        <v>12.48</v>
      </c>
      <c r="K13" s="256">
        <f t="shared" si="14"/>
        <v>2.86</v>
      </c>
      <c r="M13" s="300" t="s">
        <v>26</v>
      </c>
      <c r="N13" s="249">
        <f t="shared" si="9"/>
        <v>0</v>
      </c>
      <c r="O13" s="243">
        <v>8.58</v>
      </c>
      <c r="Q13" s="253">
        <f t="shared" si="2"/>
        <v>-0.34</v>
      </c>
      <c r="S13" s="243" t="s">
        <v>26</v>
      </c>
      <c r="T13" s="252">
        <f t="shared" si="3"/>
        <v>0</v>
      </c>
      <c r="U13" s="243">
        <v>7.54</v>
      </c>
      <c r="W13" s="257">
        <f t="shared" ref="W13:W19" si="15">IF(U13&gt;0, U13 - MIN(D13,F13,I13,L13,O13,R13), 0)</f>
        <v>-1.04</v>
      </c>
      <c r="X13" s="243">
        <v>7.27</v>
      </c>
      <c r="Z13" s="253">
        <f t="shared" ref="Z13:Z20" si="16">IF(X13&gt;0, X13 - MIN(D13,F13,I13,L13,O13,R13,U13), 0)</f>
        <v>-0.27</v>
      </c>
      <c r="AA13" s="248">
        <v>5.9</v>
      </c>
      <c r="AC13" s="257">
        <f>IF(AA13&gt;0, AA13 - MIN(D13,F13,I13,L13,O13,R13,U13,X13), 0)</f>
        <v>-1.37</v>
      </c>
      <c r="AD13" s="248">
        <v>6.0</v>
      </c>
      <c r="AF13" s="250">
        <f t="shared" ref="AF13:AF20" si="17">IF(AD13&gt;0, AD13 - MIN(D13,F13,I13,L13,O13,R13,U13,X13,AA13), 0)</f>
        <v>0.1</v>
      </c>
      <c r="AG13" s="260"/>
      <c r="AH13" s="243" t="s">
        <v>26</v>
      </c>
      <c r="AI13" s="252">
        <f t="shared" ref="AI13:AI19" si="18">IF(AG13&gt;0, AG13 - MIN(D13,F13,I13,L13,O13,R13,U13,X13,AA13,AD13), 0)</f>
        <v>0</v>
      </c>
      <c r="AJ13" s="301">
        <v>6.0</v>
      </c>
      <c r="AK13" s="291" t="s">
        <v>109</v>
      </c>
      <c r="AL13" s="295">
        <f t="shared" si="6"/>
        <v>0.1</v>
      </c>
      <c r="AM13" s="292">
        <v>7.28</v>
      </c>
      <c r="AN13" s="255"/>
      <c r="AO13" s="295">
        <f t="shared" si="7"/>
        <v>1.38</v>
      </c>
    </row>
    <row r="14">
      <c r="A14" s="247" t="s">
        <v>150</v>
      </c>
      <c r="B14" s="245">
        <f t="shared" si="1"/>
        <v>5.95</v>
      </c>
      <c r="C14" s="293">
        <v>6.47</v>
      </c>
      <c r="D14" s="246"/>
      <c r="E14" s="244" t="s">
        <v>208</v>
      </c>
      <c r="F14" s="254"/>
      <c r="H14" s="247">
        <v>1.13</v>
      </c>
      <c r="I14" s="248"/>
      <c r="J14" s="243" t="s">
        <v>215</v>
      </c>
      <c r="K14" s="244">
        <f t="shared" si="14"/>
        <v>0</v>
      </c>
      <c r="M14" s="300" t="s">
        <v>214</v>
      </c>
      <c r="N14" s="249">
        <f t="shared" si="9"/>
        <v>0</v>
      </c>
      <c r="P14" s="243" t="s">
        <v>26</v>
      </c>
      <c r="Q14" s="247">
        <f t="shared" si="2"/>
        <v>0</v>
      </c>
      <c r="S14" s="243" t="s">
        <v>26</v>
      </c>
      <c r="T14" s="252">
        <f t="shared" si="3"/>
        <v>0</v>
      </c>
      <c r="V14" s="243" t="s">
        <v>26</v>
      </c>
      <c r="W14" s="252">
        <f t="shared" si="15"/>
        <v>0</v>
      </c>
      <c r="Y14" s="243" t="s">
        <v>26</v>
      </c>
      <c r="Z14" s="247">
        <f t="shared" si="16"/>
        <v>0</v>
      </c>
      <c r="AA14" s="243"/>
      <c r="AB14" s="243" t="s">
        <v>26</v>
      </c>
      <c r="AC14" s="252">
        <f>IF(AA14&gt;0, AA14 - MIN(C14,D14,F14,I14,L14,O14,R14,U14,X14), 0)</f>
        <v>0</v>
      </c>
      <c r="AE14" s="243" t="s">
        <v>26</v>
      </c>
      <c r="AF14" s="261">
        <f t="shared" si="17"/>
        <v>0</v>
      </c>
      <c r="AG14" s="260">
        <v>6.66</v>
      </c>
      <c r="AI14" s="257">
        <f t="shared" si="18"/>
        <v>6.66</v>
      </c>
      <c r="AJ14" s="291">
        <v>6.88</v>
      </c>
      <c r="AK14" s="255"/>
      <c r="AL14" s="295">
        <f t="shared" si="6"/>
        <v>0.22</v>
      </c>
      <c r="AM14" s="292">
        <v>5.95</v>
      </c>
      <c r="AN14" s="255"/>
      <c r="AO14" s="295">
        <f t="shared" si="7"/>
        <v>-0.71</v>
      </c>
    </row>
    <row r="15">
      <c r="A15" s="247" t="s">
        <v>153</v>
      </c>
      <c r="B15" s="245">
        <f t="shared" si="1"/>
        <v>6.39</v>
      </c>
      <c r="C15" s="293">
        <v>6.86</v>
      </c>
      <c r="D15" s="246"/>
      <c r="E15" s="244" t="s">
        <v>208</v>
      </c>
      <c r="F15" s="254"/>
      <c r="G15" s="243" t="s">
        <v>141</v>
      </c>
      <c r="H15" s="247"/>
      <c r="I15" s="248"/>
      <c r="K15" s="244">
        <f t="shared" si="14"/>
        <v>0</v>
      </c>
      <c r="M15" s="300" t="s">
        <v>26</v>
      </c>
      <c r="N15" s="249">
        <f t="shared" si="9"/>
        <v>0</v>
      </c>
      <c r="O15" s="248">
        <v>7.5</v>
      </c>
      <c r="Q15" s="253">
        <f t="shared" si="2"/>
        <v>0.64</v>
      </c>
      <c r="R15" s="243">
        <v>6.8</v>
      </c>
      <c r="S15" s="243" t="s">
        <v>110</v>
      </c>
      <c r="T15" s="257">
        <f t="shared" si="3"/>
        <v>-0.7</v>
      </c>
      <c r="V15" s="243" t="s">
        <v>26</v>
      </c>
      <c r="W15" s="252">
        <f t="shared" si="15"/>
        <v>0</v>
      </c>
      <c r="X15" s="243">
        <v>6.82</v>
      </c>
      <c r="Z15" s="253">
        <f t="shared" si="16"/>
        <v>0.02</v>
      </c>
      <c r="AA15" s="302">
        <v>7.43</v>
      </c>
      <c r="AC15" s="257">
        <f t="shared" ref="AC15:AC20" si="19">IF(AA15&gt;0, AA15 - MIN(D15,F15,I15,L15,O15,R15,U15,X15), 0)</f>
        <v>0.63</v>
      </c>
      <c r="AE15" s="243" t="s">
        <v>26</v>
      </c>
      <c r="AF15" s="261">
        <f t="shared" si="17"/>
        <v>0</v>
      </c>
      <c r="AG15" s="254"/>
      <c r="AH15" s="243" t="s">
        <v>26</v>
      </c>
      <c r="AI15" s="252">
        <f t="shared" si="18"/>
        <v>0</v>
      </c>
      <c r="AJ15" s="291">
        <v>6.62</v>
      </c>
      <c r="AK15" s="291" t="s">
        <v>25</v>
      </c>
      <c r="AL15" s="295">
        <f t="shared" si="6"/>
        <v>-0.18</v>
      </c>
      <c r="AM15" s="292">
        <v>6.39</v>
      </c>
      <c r="AN15" s="291" t="s">
        <v>25</v>
      </c>
      <c r="AO15" s="295">
        <f t="shared" si="7"/>
        <v>-0.23</v>
      </c>
    </row>
    <row r="16">
      <c r="A16" s="247" t="s">
        <v>159</v>
      </c>
      <c r="B16" s="245">
        <f t="shared" si="1"/>
        <v>6.66</v>
      </c>
      <c r="C16" s="293">
        <v>7.72</v>
      </c>
      <c r="D16" s="246"/>
      <c r="E16" s="244" t="s">
        <v>208</v>
      </c>
      <c r="F16" s="254"/>
      <c r="H16" s="247">
        <v>0.21</v>
      </c>
      <c r="I16" s="248"/>
      <c r="J16" s="294" t="s">
        <v>26</v>
      </c>
      <c r="K16" s="244">
        <f t="shared" si="14"/>
        <v>0</v>
      </c>
      <c r="M16" s="300" t="s">
        <v>26</v>
      </c>
      <c r="N16" s="249">
        <f t="shared" si="9"/>
        <v>0</v>
      </c>
      <c r="O16" s="243">
        <v>8.23</v>
      </c>
      <c r="Q16" s="253">
        <f t="shared" si="2"/>
        <v>0.51</v>
      </c>
      <c r="S16" s="243" t="s">
        <v>26</v>
      </c>
      <c r="T16" s="252">
        <f t="shared" si="3"/>
        <v>0</v>
      </c>
      <c r="V16" s="243" t="s">
        <v>26</v>
      </c>
      <c r="W16" s="252">
        <f t="shared" si="15"/>
        <v>0</v>
      </c>
      <c r="X16" s="248">
        <v>7.0</v>
      </c>
      <c r="Z16" s="253">
        <f t="shared" si="16"/>
        <v>-1.23</v>
      </c>
      <c r="AA16" s="243">
        <v>6.66</v>
      </c>
      <c r="AC16" s="257">
        <f t="shared" si="19"/>
        <v>-0.34</v>
      </c>
      <c r="AE16" s="243" t="s">
        <v>26</v>
      </c>
      <c r="AF16" s="261">
        <f t="shared" si="17"/>
        <v>0</v>
      </c>
      <c r="AG16" s="254"/>
      <c r="AH16" s="243" t="s">
        <v>26</v>
      </c>
      <c r="AI16" s="252">
        <f t="shared" si="18"/>
        <v>0</v>
      </c>
      <c r="AJ16" s="291">
        <v>7.25</v>
      </c>
      <c r="AK16" s="255"/>
      <c r="AL16" s="295">
        <f t="shared" si="6"/>
        <v>0.59</v>
      </c>
      <c r="AM16" s="292">
        <v>7.05</v>
      </c>
      <c r="AN16" s="255"/>
      <c r="AO16" s="295">
        <f t="shared" si="7"/>
        <v>0.39</v>
      </c>
    </row>
    <row r="17">
      <c r="A17" s="247" t="s">
        <v>160</v>
      </c>
      <c r="B17" s="245">
        <f t="shared" si="1"/>
        <v>6.9</v>
      </c>
      <c r="C17" s="244">
        <v>7.87</v>
      </c>
      <c r="D17" s="243">
        <v>8.2</v>
      </c>
      <c r="E17" s="244" t="s">
        <v>208</v>
      </c>
      <c r="F17" s="260">
        <v>9.5</v>
      </c>
      <c r="H17" s="247"/>
      <c r="I17" s="248"/>
      <c r="J17" s="294" t="s">
        <v>141</v>
      </c>
      <c r="K17" s="244">
        <f t="shared" si="14"/>
        <v>0</v>
      </c>
      <c r="L17" s="243">
        <v>9.15</v>
      </c>
      <c r="N17" s="249">
        <f t="shared" si="9"/>
        <v>0.95</v>
      </c>
      <c r="O17" s="243">
        <v>7.68</v>
      </c>
      <c r="Q17" s="247">
        <f t="shared" si="2"/>
        <v>-0.19</v>
      </c>
      <c r="S17" s="243" t="s">
        <v>26</v>
      </c>
      <c r="T17" s="252">
        <f t="shared" si="3"/>
        <v>0</v>
      </c>
      <c r="V17" s="243" t="s">
        <v>26</v>
      </c>
      <c r="W17" s="252">
        <f t="shared" si="15"/>
        <v>0</v>
      </c>
      <c r="X17" s="243">
        <v>7.63</v>
      </c>
      <c r="Z17" s="247">
        <f t="shared" si="16"/>
        <v>-0.05</v>
      </c>
      <c r="AA17" s="243">
        <v>7.37</v>
      </c>
      <c r="AC17" s="252">
        <f t="shared" si="19"/>
        <v>-0.26</v>
      </c>
      <c r="AE17" s="243" t="s">
        <v>141</v>
      </c>
      <c r="AF17" s="261">
        <f t="shared" si="17"/>
        <v>0</v>
      </c>
      <c r="AG17" s="297">
        <v>6.9</v>
      </c>
      <c r="AI17" s="257">
        <f t="shared" si="18"/>
        <v>-0.47</v>
      </c>
      <c r="AJ17" s="255"/>
      <c r="AK17" s="291" t="s">
        <v>26</v>
      </c>
      <c r="AL17" s="255">
        <f t="shared" si="6"/>
        <v>0</v>
      </c>
      <c r="AM17" s="292">
        <v>7.95</v>
      </c>
      <c r="AN17" s="255"/>
      <c r="AO17" s="255">
        <f t="shared" si="7"/>
        <v>1.05</v>
      </c>
    </row>
    <row r="18">
      <c r="A18" s="247" t="s">
        <v>158</v>
      </c>
      <c r="B18" s="245">
        <f t="shared" si="1"/>
        <v>7.03</v>
      </c>
      <c r="C18" s="293">
        <v>7.5</v>
      </c>
      <c r="D18" s="246"/>
      <c r="E18" s="244" t="s">
        <v>208</v>
      </c>
      <c r="F18" s="260">
        <v>7.5</v>
      </c>
      <c r="G18" s="243" t="s">
        <v>140</v>
      </c>
      <c r="H18" s="247"/>
      <c r="I18" s="248">
        <v>8.11</v>
      </c>
      <c r="K18" s="256">
        <f t="shared" si="14"/>
        <v>0.61</v>
      </c>
      <c r="M18" s="300" t="s">
        <v>26</v>
      </c>
      <c r="N18" s="249">
        <f t="shared" si="9"/>
        <v>0</v>
      </c>
      <c r="O18" s="243">
        <v>7.03</v>
      </c>
      <c r="P18" s="243" t="s">
        <v>140</v>
      </c>
      <c r="Q18" s="253">
        <f t="shared" si="2"/>
        <v>-0.47</v>
      </c>
      <c r="S18" s="243" t="s">
        <v>26</v>
      </c>
      <c r="T18" s="252">
        <f t="shared" si="3"/>
        <v>0</v>
      </c>
      <c r="V18" s="243" t="s">
        <v>96</v>
      </c>
      <c r="W18" s="252">
        <f t="shared" si="15"/>
        <v>0</v>
      </c>
      <c r="X18" s="243">
        <v>7.09</v>
      </c>
      <c r="Z18" s="253">
        <f t="shared" si="16"/>
        <v>0.06</v>
      </c>
      <c r="AA18" s="243">
        <v>7.06</v>
      </c>
      <c r="AC18" s="257">
        <f t="shared" si="19"/>
        <v>0.03</v>
      </c>
      <c r="AD18" s="243">
        <v>7.58</v>
      </c>
      <c r="AF18" s="250">
        <f t="shared" si="17"/>
        <v>0.55</v>
      </c>
      <c r="AG18" s="297">
        <v>7.1</v>
      </c>
      <c r="AI18" s="257">
        <f t="shared" si="18"/>
        <v>0.07</v>
      </c>
      <c r="AJ18" s="255"/>
      <c r="AK18" s="291" t="s">
        <v>26</v>
      </c>
      <c r="AL18" s="255">
        <f t="shared" si="6"/>
        <v>0</v>
      </c>
      <c r="AM18" s="298"/>
      <c r="AN18" s="291" t="s">
        <v>26</v>
      </c>
      <c r="AO18" s="255">
        <f t="shared" si="7"/>
        <v>0</v>
      </c>
    </row>
    <row r="19">
      <c r="A19" s="247" t="s">
        <v>163</v>
      </c>
      <c r="B19" s="245">
        <f t="shared" si="1"/>
        <v>7.47</v>
      </c>
      <c r="C19" s="244">
        <v>8.84</v>
      </c>
      <c r="E19" s="244" t="s">
        <v>208</v>
      </c>
      <c r="F19" s="260">
        <v>25.0</v>
      </c>
      <c r="H19" s="247"/>
      <c r="I19" s="248"/>
      <c r="J19" s="294" t="s">
        <v>26</v>
      </c>
      <c r="K19" s="244">
        <f t="shared" si="14"/>
        <v>0</v>
      </c>
      <c r="M19" s="243" t="s">
        <v>141</v>
      </c>
      <c r="N19" s="249">
        <f t="shared" si="9"/>
        <v>0</v>
      </c>
      <c r="P19" s="243" t="s">
        <v>26</v>
      </c>
      <c r="Q19" s="247">
        <f t="shared" si="2"/>
        <v>0</v>
      </c>
      <c r="S19" s="243" t="s">
        <v>26</v>
      </c>
      <c r="T19" s="252">
        <f t="shared" si="3"/>
        <v>0</v>
      </c>
      <c r="V19" s="243" t="s">
        <v>26</v>
      </c>
      <c r="W19" s="252">
        <f t="shared" si="15"/>
        <v>0</v>
      </c>
      <c r="Y19" s="243" t="s">
        <v>96</v>
      </c>
      <c r="Z19" s="247">
        <f t="shared" si="16"/>
        <v>0</v>
      </c>
      <c r="AA19" s="243">
        <v>7.47</v>
      </c>
      <c r="AB19" s="243" t="s">
        <v>151</v>
      </c>
      <c r="AC19" s="252">
        <f t="shared" si="19"/>
        <v>-17.53</v>
      </c>
      <c r="AE19" s="243" t="s">
        <v>26</v>
      </c>
      <c r="AF19" s="261">
        <f t="shared" si="17"/>
        <v>0</v>
      </c>
      <c r="AG19" s="297">
        <v>10.0</v>
      </c>
      <c r="AH19" s="243" t="s">
        <v>140</v>
      </c>
      <c r="AI19" s="257">
        <f t="shared" si="18"/>
        <v>2.53</v>
      </c>
      <c r="AJ19" s="255"/>
      <c r="AK19" s="291" t="s">
        <v>26</v>
      </c>
      <c r="AL19" s="255">
        <f t="shared" si="6"/>
        <v>0</v>
      </c>
      <c r="AM19" s="298"/>
      <c r="AN19" s="291" t="s">
        <v>26</v>
      </c>
      <c r="AO19" s="255">
        <f t="shared" si="7"/>
        <v>0</v>
      </c>
    </row>
    <row r="20">
      <c r="A20" s="247" t="s">
        <v>162</v>
      </c>
      <c r="B20" s="245">
        <f t="shared" si="1"/>
        <v>7.75</v>
      </c>
      <c r="C20" s="293">
        <v>8.06</v>
      </c>
      <c r="D20" s="246"/>
      <c r="E20" s="244" t="s">
        <v>208</v>
      </c>
      <c r="F20" s="260">
        <v>10.03</v>
      </c>
      <c r="H20" s="247"/>
      <c r="I20" s="248"/>
      <c r="J20" s="243" t="s">
        <v>26</v>
      </c>
      <c r="K20" s="244">
        <f t="shared" si="14"/>
        <v>0</v>
      </c>
      <c r="M20" s="300" t="s">
        <v>26</v>
      </c>
      <c r="N20" s="249">
        <f t="shared" si="9"/>
        <v>0</v>
      </c>
      <c r="O20" s="243">
        <v>8.01</v>
      </c>
      <c r="Q20" s="253">
        <f t="shared" si="2"/>
        <v>-0.05</v>
      </c>
      <c r="R20" s="243">
        <v>7.75</v>
      </c>
      <c r="S20" s="243" t="s">
        <v>140</v>
      </c>
      <c r="T20" s="257">
        <f t="shared" si="3"/>
        <v>-0.26</v>
      </c>
      <c r="V20" s="243" t="s">
        <v>96</v>
      </c>
      <c r="W20" s="252">
        <f>IF(U20&gt;0, U20 - MIN(D20,F20,I20,L20,#REF!,R20), 0)</f>
        <v>0</v>
      </c>
      <c r="X20" s="243">
        <v>8.15</v>
      </c>
      <c r="Z20" s="253">
        <f t="shared" si="16"/>
        <v>0.4</v>
      </c>
      <c r="AA20" s="243">
        <v>8.13</v>
      </c>
      <c r="AC20" s="257">
        <f t="shared" si="19"/>
        <v>0.38</v>
      </c>
      <c r="AD20" s="243">
        <v>8.18</v>
      </c>
      <c r="AE20" s="243" t="s">
        <v>25</v>
      </c>
      <c r="AF20" s="250">
        <f t="shared" si="17"/>
        <v>0.43</v>
      </c>
      <c r="AG20" s="260"/>
      <c r="AH20" s="243" t="s">
        <v>26</v>
      </c>
      <c r="AI20" s="252">
        <f>IF(AG20&gt;0, AG20 - MIN(D20,F20,I20,L20,#REF!,R20,U20,X20,AA20,AD20), 0)</f>
        <v>0</v>
      </c>
      <c r="AJ20" s="255"/>
      <c r="AK20" s="291" t="s">
        <v>26</v>
      </c>
      <c r="AL20" s="255">
        <f t="shared" si="6"/>
        <v>0</v>
      </c>
      <c r="AM20" s="292">
        <v>8.11</v>
      </c>
      <c r="AN20" s="291"/>
      <c r="AO20" s="295">
        <f t="shared" si="7"/>
        <v>0.36</v>
      </c>
    </row>
    <row r="23">
      <c r="A23" s="243" t="s">
        <v>170</v>
      </c>
      <c r="O23" s="243">
        <v>8.06</v>
      </c>
      <c r="AG23" s="248">
        <v>7.3</v>
      </c>
      <c r="AH23" s="243" t="s">
        <v>140</v>
      </c>
      <c r="AJ23" s="243">
        <v>6.82</v>
      </c>
    </row>
    <row r="24">
      <c r="A24" s="243" t="s">
        <v>216</v>
      </c>
      <c r="R24" s="243">
        <v>10.97</v>
      </c>
    </row>
    <row r="25">
      <c r="A25" s="243" t="s">
        <v>217</v>
      </c>
      <c r="R25" s="243">
        <v>34.0</v>
      </c>
    </row>
    <row r="26">
      <c r="A26" s="243" t="s">
        <v>169</v>
      </c>
      <c r="AG26" s="243">
        <v>11.42</v>
      </c>
      <c r="AJ26" s="243">
        <v>12.74</v>
      </c>
      <c r="AM26" s="243">
        <v>9.28</v>
      </c>
    </row>
    <row r="27">
      <c r="A27" s="243" t="s">
        <v>35</v>
      </c>
      <c r="AG27" s="243">
        <v>6.83</v>
      </c>
    </row>
    <row r="28">
      <c r="A28" s="243" t="s">
        <v>32</v>
      </c>
      <c r="AG28" s="248">
        <v>9.3</v>
      </c>
    </row>
    <row r="29">
      <c r="A29" s="243" t="s">
        <v>40</v>
      </c>
      <c r="AG29" s="243">
        <v>7.14</v>
      </c>
    </row>
    <row r="30">
      <c r="A30" s="243" t="s">
        <v>21</v>
      </c>
      <c r="AG30" s="243">
        <v>7.89</v>
      </c>
    </row>
    <row r="31">
      <c r="A31" s="243" t="s">
        <v>17</v>
      </c>
      <c r="L31" s="247" t="s">
        <v>146</v>
      </c>
      <c r="M31" s="243">
        <v>5.63</v>
      </c>
      <c r="O31" s="247" t="s">
        <v>146</v>
      </c>
      <c r="P31" s="243">
        <v>4.87</v>
      </c>
      <c r="R31" s="247" t="s">
        <v>146</v>
      </c>
      <c r="S31" s="260">
        <v>5.16</v>
      </c>
      <c r="U31" s="244" t="s">
        <v>139</v>
      </c>
      <c r="V31" s="260">
        <v>4.11</v>
      </c>
      <c r="X31" s="247" t="s">
        <v>142</v>
      </c>
      <c r="Y31" s="243">
        <v>4.69</v>
      </c>
      <c r="Z31" s="243">
        <v>1.0</v>
      </c>
      <c r="AA31" s="244" t="s">
        <v>139</v>
      </c>
      <c r="AB31" s="243">
        <v>3.79</v>
      </c>
      <c r="AG31" s="248">
        <v>14.1</v>
      </c>
    </row>
    <row r="32">
      <c r="A32" s="243" t="s">
        <v>28</v>
      </c>
      <c r="L32" s="247" t="s">
        <v>142</v>
      </c>
      <c r="M32" s="243">
        <v>5.63</v>
      </c>
      <c r="O32" s="247" t="s">
        <v>155</v>
      </c>
      <c r="P32" s="243">
        <v>6.05</v>
      </c>
      <c r="R32" s="244" t="s">
        <v>143</v>
      </c>
      <c r="S32" s="243">
        <v>5.49</v>
      </c>
      <c r="U32" s="247" t="s">
        <v>146</v>
      </c>
      <c r="V32" s="243">
        <v>4.7</v>
      </c>
      <c r="X32" s="247" t="s">
        <v>118</v>
      </c>
      <c r="Y32" s="243">
        <v>5.42</v>
      </c>
      <c r="Z32" s="243">
        <v>2.0</v>
      </c>
      <c r="AA32" s="247" t="s">
        <v>146</v>
      </c>
      <c r="AB32" s="243">
        <v>4.62</v>
      </c>
      <c r="AG32" s="243">
        <v>13.38</v>
      </c>
    </row>
    <row r="33">
      <c r="A33" s="243" t="s">
        <v>218</v>
      </c>
      <c r="L33" s="247" t="s">
        <v>155</v>
      </c>
      <c r="M33" s="243">
        <v>6.63</v>
      </c>
      <c r="O33" s="247" t="s">
        <v>118</v>
      </c>
      <c r="P33" s="243">
        <v>6.38</v>
      </c>
      <c r="R33" s="247" t="s">
        <v>153</v>
      </c>
      <c r="S33" s="243">
        <v>6.8</v>
      </c>
      <c r="U33" s="247" t="s">
        <v>145</v>
      </c>
      <c r="V33" s="243">
        <v>5.14</v>
      </c>
      <c r="X33" s="247" t="s">
        <v>165</v>
      </c>
      <c r="Y33" s="243">
        <v>5.7</v>
      </c>
      <c r="Z33" s="243">
        <v>3.0</v>
      </c>
      <c r="AA33" s="247" t="s">
        <v>145</v>
      </c>
      <c r="AB33" s="243">
        <v>4.73</v>
      </c>
      <c r="AG33" s="248">
        <v>30.3</v>
      </c>
    </row>
    <row r="34">
      <c r="A34" s="243" t="s">
        <v>27</v>
      </c>
      <c r="L34" s="247" t="s">
        <v>118</v>
      </c>
      <c r="M34" s="243">
        <v>6.8</v>
      </c>
      <c r="O34" s="247" t="s">
        <v>158</v>
      </c>
      <c r="P34" s="243">
        <v>7.03</v>
      </c>
      <c r="R34" s="247" t="s">
        <v>155</v>
      </c>
      <c r="S34" s="243">
        <v>7.05</v>
      </c>
      <c r="U34" s="247" t="s">
        <v>155</v>
      </c>
      <c r="V34" s="243">
        <v>6.44</v>
      </c>
      <c r="X34" s="247" t="s">
        <v>60</v>
      </c>
      <c r="Y34" s="243">
        <v>5.83</v>
      </c>
      <c r="Z34" s="243">
        <v>4.0</v>
      </c>
      <c r="AA34" s="244" t="s">
        <v>143</v>
      </c>
      <c r="AB34" s="243">
        <v>4.98</v>
      </c>
      <c r="AG34" s="248">
        <v>8.5</v>
      </c>
    </row>
    <row r="35">
      <c r="A35" s="243" t="s">
        <v>34</v>
      </c>
      <c r="L35" s="247" t="s">
        <v>160</v>
      </c>
      <c r="M35" s="243">
        <v>9.15</v>
      </c>
      <c r="O35" s="247" t="s">
        <v>60</v>
      </c>
      <c r="P35" s="243">
        <v>7.15</v>
      </c>
      <c r="R35" s="247" t="s">
        <v>60</v>
      </c>
      <c r="S35" s="248">
        <v>7.11</v>
      </c>
      <c r="U35" s="247" t="s">
        <v>118</v>
      </c>
      <c r="V35" s="243">
        <v>6.63</v>
      </c>
      <c r="X35" s="247" t="s">
        <v>155</v>
      </c>
      <c r="Y35" s="243">
        <v>6.11</v>
      </c>
      <c r="Z35" s="243">
        <v>5.0</v>
      </c>
      <c r="AA35" s="247" t="s">
        <v>118</v>
      </c>
      <c r="AB35" s="243">
        <v>5.44</v>
      </c>
      <c r="AG35" s="243">
        <v>11.94</v>
      </c>
    </row>
    <row r="36">
      <c r="A36" s="243" t="s">
        <v>219</v>
      </c>
      <c r="L36" s="247" t="s">
        <v>60</v>
      </c>
      <c r="M36" s="243">
        <v>12.44</v>
      </c>
      <c r="O36" s="247" t="s">
        <v>154</v>
      </c>
      <c r="P36" s="243">
        <v>7.22</v>
      </c>
      <c r="R36" s="247" t="s">
        <v>162</v>
      </c>
      <c r="S36" s="243">
        <v>7.75</v>
      </c>
      <c r="U36" s="247" t="s">
        <v>164</v>
      </c>
      <c r="V36" s="243">
        <v>7.54</v>
      </c>
      <c r="X36" s="244" t="s">
        <v>143</v>
      </c>
      <c r="Y36" s="243">
        <v>6.17</v>
      </c>
      <c r="Z36" s="243">
        <v>6.0</v>
      </c>
      <c r="AA36" s="247" t="s">
        <v>165</v>
      </c>
      <c r="AB36" s="243">
        <v>5.44</v>
      </c>
      <c r="AM36" s="248">
        <v>5.0</v>
      </c>
    </row>
    <row r="37">
      <c r="A37" s="243" t="s">
        <v>220</v>
      </c>
      <c r="L37" s="247" t="s">
        <v>162</v>
      </c>
      <c r="O37" s="247" t="s">
        <v>153</v>
      </c>
      <c r="P37" s="243">
        <v>7.5</v>
      </c>
      <c r="R37" s="244" t="s">
        <v>216</v>
      </c>
      <c r="S37" s="243">
        <v>10.97</v>
      </c>
      <c r="U37" s="247" t="s">
        <v>153</v>
      </c>
      <c r="X37" s="247" t="s">
        <v>153</v>
      </c>
      <c r="Y37" s="243">
        <v>6.82</v>
      </c>
      <c r="Z37" s="243">
        <v>7.0</v>
      </c>
      <c r="AA37" s="247" t="s">
        <v>155</v>
      </c>
      <c r="AB37" s="243">
        <v>5.71</v>
      </c>
      <c r="AM37" s="243">
        <v>4.71</v>
      </c>
    </row>
    <row r="38">
      <c r="L38" s="244" t="s">
        <v>139</v>
      </c>
      <c r="M38" s="243"/>
      <c r="O38" s="247" t="s">
        <v>160</v>
      </c>
      <c r="P38" s="243">
        <v>7.68</v>
      </c>
      <c r="R38" s="244" t="s">
        <v>217</v>
      </c>
      <c r="S38" s="243">
        <v>34.0</v>
      </c>
      <c r="U38" s="247" t="s">
        <v>150</v>
      </c>
      <c r="X38" s="247" t="s">
        <v>159</v>
      </c>
      <c r="Y38" s="243">
        <v>7.0</v>
      </c>
      <c r="Z38" s="243">
        <v>8.0</v>
      </c>
      <c r="AA38" s="247" t="s">
        <v>164</v>
      </c>
      <c r="AB38" s="248">
        <v>5.9</v>
      </c>
    </row>
    <row r="39">
      <c r="L39" s="247" t="s">
        <v>145</v>
      </c>
      <c r="O39" s="247" t="s">
        <v>162</v>
      </c>
      <c r="P39" s="243">
        <v>8.01</v>
      </c>
      <c r="R39" s="244" t="s">
        <v>139</v>
      </c>
      <c r="U39" s="247" t="s">
        <v>162</v>
      </c>
      <c r="V39" s="243"/>
      <c r="X39" s="247" t="s">
        <v>158</v>
      </c>
      <c r="Y39" s="243">
        <v>7.09</v>
      </c>
      <c r="Z39" s="243">
        <v>9.0</v>
      </c>
      <c r="AA39" s="247" t="s">
        <v>154</v>
      </c>
      <c r="AB39" s="243">
        <v>6.38</v>
      </c>
    </row>
    <row r="40">
      <c r="L40" s="247" t="s">
        <v>149</v>
      </c>
      <c r="O40" s="244" t="s">
        <v>170</v>
      </c>
      <c r="P40" s="243">
        <v>8.06</v>
      </c>
      <c r="R40" s="247" t="s">
        <v>142</v>
      </c>
      <c r="U40" s="247" t="s">
        <v>154</v>
      </c>
      <c r="X40" s="247" t="s">
        <v>164</v>
      </c>
      <c r="Y40" s="243">
        <v>7.27</v>
      </c>
      <c r="Z40" s="243">
        <v>10.0</v>
      </c>
      <c r="AA40" s="247" t="s">
        <v>159</v>
      </c>
      <c r="AB40" s="243">
        <v>6.66</v>
      </c>
    </row>
    <row r="41">
      <c r="L41" s="247" t="s">
        <v>164</v>
      </c>
      <c r="O41" s="247" t="s">
        <v>159</v>
      </c>
      <c r="P41" s="243">
        <v>8.23</v>
      </c>
      <c r="R41" s="247" t="s">
        <v>145</v>
      </c>
      <c r="U41" s="244" t="s">
        <v>143</v>
      </c>
      <c r="X41" s="247" t="s">
        <v>160</v>
      </c>
      <c r="Y41" s="243">
        <v>7.63</v>
      </c>
      <c r="Z41" s="243">
        <v>11.0</v>
      </c>
      <c r="AA41" s="247" t="s">
        <v>158</v>
      </c>
      <c r="AB41" s="243">
        <v>7.06</v>
      </c>
    </row>
    <row r="42">
      <c r="L42" s="247" t="s">
        <v>153</v>
      </c>
      <c r="O42" s="247" t="s">
        <v>164</v>
      </c>
      <c r="P42" s="243">
        <v>8.58</v>
      </c>
      <c r="R42" s="247" t="s">
        <v>118</v>
      </c>
      <c r="U42" s="247" t="s">
        <v>159</v>
      </c>
      <c r="X42" s="247" t="s">
        <v>162</v>
      </c>
      <c r="Y42" s="243">
        <v>8.15</v>
      </c>
      <c r="Z42" s="243">
        <v>12.0</v>
      </c>
      <c r="AA42" s="247" t="s">
        <v>160</v>
      </c>
      <c r="AB42" s="243">
        <v>7.37</v>
      </c>
    </row>
    <row r="43">
      <c r="L43" s="247" t="s">
        <v>158</v>
      </c>
      <c r="O43" s="244" t="s">
        <v>143</v>
      </c>
      <c r="R43" s="247" t="s">
        <v>149</v>
      </c>
      <c r="U43" s="247" t="s">
        <v>60</v>
      </c>
      <c r="V43" s="248"/>
      <c r="X43" s="244" t="s">
        <v>139</v>
      </c>
      <c r="Z43" s="243">
        <v>13.0</v>
      </c>
      <c r="AA43" s="247" t="s">
        <v>153</v>
      </c>
      <c r="AB43" s="302">
        <v>7.43</v>
      </c>
    </row>
    <row r="44">
      <c r="L44" s="244" t="s">
        <v>143</v>
      </c>
      <c r="O44" s="247" t="s">
        <v>142</v>
      </c>
      <c r="R44" s="247" t="s">
        <v>150</v>
      </c>
      <c r="U44" s="247" t="s">
        <v>149</v>
      </c>
      <c r="X44" s="247" t="s">
        <v>146</v>
      </c>
      <c r="Z44" s="243">
        <v>14.0</v>
      </c>
      <c r="AA44" s="247" t="s">
        <v>163</v>
      </c>
      <c r="AB44" s="243">
        <v>7.47</v>
      </c>
      <c r="AF44" s="243">
        <v>1.0</v>
      </c>
      <c r="AG44" s="282" t="s">
        <v>139</v>
      </c>
      <c r="AH44" s="288">
        <v>3.45</v>
      </c>
    </row>
    <row r="45">
      <c r="L45" s="247" t="s">
        <v>154</v>
      </c>
      <c r="O45" s="244" t="s">
        <v>139</v>
      </c>
      <c r="R45" s="247" t="s">
        <v>158</v>
      </c>
      <c r="U45" s="247" t="s">
        <v>160</v>
      </c>
      <c r="X45" s="247" t="s">
        <v>145</v>
      </c>
      <c r="Z45" s="243">
        <v>15.0</v>
      </c>
      <c r="AA45" s="247" t="s">
        <v>162</v>
      </c>
      <c r="AB45" s="243">
        <v>8.13</v>
      </c>
      <c r="AF45" s="243">
        <v>2.0</v>
      </c>
      <c r="AG45" s="247" t="s">
        <v>145</v>
      </c>
      <c r="AH45" s="260">
        <v>5.12</v>
      </c>
    </row>
    <row r="46">
      <c r="L46" s="247" t="s">
        <v>150</v>
      </c>
      <c r="O46" s="247" t="s">
        <v>145</v>
      </c>
      <c r="R46" s="247" t="s">
        <v>154</v>
      </c>
      <c r="U46" s="247" t="s">
        <v>163</v>
      </c>
      <c r="X46" s="247" t="s">
        <v>149</v>
      </c>
      <c r="Z46" s="243">
        <v>16.0</v>
      </c>
      <c r="AA46" s="247" t="s">
        <v>60</v>
      </c>
      <c r="AB46" s="248">
        <v>9.0</v>
      </c>
      <c r="AF46" s="243">
        <v>3.0</v>
      </c>
      <c r="AG46" s="247" t="s">
        <v>142</v>
      </c>
      <c r="AH46" s="297">
        <v>5.3</v>
      </c>
    </row>
    <row r="47">
      <c r="L47" s="247" t="s">
        <v>159</v>
      </c>
      <c r="O47" s="247" t="s">
        <v>149</v>
      </c>
      <c r="R47" s="247" t="s">
        <v>160</v>
      </c>
      <c r="U47" s="247" t="s">
        <v>158</v>
      </c>
      <c r="X47" s="247" t="s">
        <v>150</v>
      </c>
      <c r="Z47" s="243">
        <v>17.0</v>
      </c>
      <c r="AA47" s="247" t="s">
        <v>142</v>
      </c>
      <c r="AF47" s="243">
        <v>4.0</v>
      </c>
      <c r="AG47" s="247" t="s">
        <v>154</v>
      </c>
      <c r="AH47" s="260">
        <v>6.16</v>
      </c>
    </row>
    <row r="48">
      <c r="L48" s="247" t="s">
        <v>165</v>
      </c>
      <c r="O48" s="247" t="s">
        <v>150</v>
      </c>
      <c r="R48" s="247" t="s">
        <v>159</v>
      </c>
      <c r="U48" s="247" t="s">
        <v>142</v>
      </c>
      <c r="X48" s="247" t="s">
        <v>154</v>
      </c>
      <c r="Z48" s="243">
        <v>18.0</v>
      </c>
      <c r="AA48" s="247" t="s">
        <v>149</v>
      </c>
      <c r="AF48" s="243">
        <v>5.0</v>
      </c>
      <c r="AG48" s="247" t="s">
        <v>60</v>
      </c>
      <c r="AH48" s="260">
        <v>6.39</v>
      </c>
    </row>
    <row r="49">
      <c r="L49" s="247" t="s">
        <v>163</v>
      </c>
      <c r="O49" s="247" t="s">
        <v>163</v>
      </c>
      <c r="R49" s="247" t="s">
        <v>164</v>
      </c>
      <c r="X49" s="247" t="s">
        <v>163</v>
      </c>
      <c r="Z49" s="243">
        <v>19.0</v>
      </c>
      <c r="AA49" s="247" t="s">
        <v>150</v>
      </c>
      <c r="AB49" s="243"/>
      <c r="AF49" s="243">
        <v>6.0</v>
      </c>
      <c r="AG49" s="247" t="s">
        <v>118</v>
      </c>
      <c r="AH49" s="260">
        <v>6.47</v>
      </c>
    </row>
    <row r="50">
      <c r="O50" s="261" t="s">
        <v>165</v>
      </c>
      <c r="R50" s="261" t="s">
        <v>163</v>
      </c>
      <c r="AF50" s="243">
        <v>7.0</v>
      </c>
      <c r="AG50" s="247" t="s">
        <v>150</v>
      </c>
      <c r="AH50" s="260">
        <v>6.66</v>
      </c>
    </row>
    <row r="51">
      <c r="R51" s="261" t="s">
        <v>165</v>
      </c>
      <c r="U51" s="261" t="s">
        <v>165</v>
      </c>
      <c r="AF51" s="243">
        <v>8.0</v>
      </c>
      <c r="AG51" s="244" t="s">
        <v>35</v>
      </c>
      <c r="AH51" s="260">
        <v>6.83</v>
      </c>
    </row>
    <row r="52">
      <c r="AF52" s="243">
        <v>9.0</v>
      </c>
      <c r="AG52" s="247" t="s">
        <v>160</v>
      </c>
      <c r="AH52" s="297">
        <v>6.9</v>
      </c>
    </row>
    <row r="53">
      <c r="AF53" s="243">
        <v>10.0</v>
      </c>
      <c r="AG53" s="247" t="s">
        <v>158</v>
      </c>
      <c r="AH53" s="297">
        <v>7.1</v>
      </c>
    </row>
    <row r="54">
      <c r="R54" s="243" t="s">
        <v>170</v>
      </c>
      <c r="AF54" s="243">
        <v>11.0</v>
      </c>
      <c r="AG54" s="244" t="s">
        <v>40</v>
      </c>
      <c r="AH54" s="260">
        <v>7.14</v>
      </c>
    </row>
    <row r="55">
      <c r="AF55" s="243">
        <v>12.0</v>
      </c>
      <c r="AG55" s="244" t="s">
        <v>170</v>
      </c>
      <c r="AH55" s="297">
        <v>7.3</v>
      </c>
    </row>
    <row r="56">
      <c r="AF56" s="243">
        <v>13.0</v>
      </c>
      <c r="AG56" s="244" t="s">
        <v>21</v>
      </c>
      <c r="AH56" s="260">
        <v>7.89</v>
      </c>
    </row>
    <row r="57">
      <c r="AF57" s="243">
        <v>14.0</v>
      </c>
      <c r="AG57" s="244" t="s">
        <v>27</v>
      </c>
      <c r="AH57" s="260">
        <v>8.5</v>
      </c>
    </row>
    <row r="58">
      <c r="AF58" s="243">
        <v>15.0</v>
      </c>
      <c r="AG58" s="244" t="s">
        <v>32</v>
      </c>
      <c r="AH58" s="260">
        <v>9.3</v>
      </c>
    </row>
    <row r="59">
      <c r="AF59" s="243">
        <v>16.0</v>
      </c>
      <c r="AG59" s="247" t="s">
        <v>163</v>
      </c>
      <c r="AH59" s="297">
        <v>10.0</v>
      </c>
    </row>
    <row r="60">
      <c r="AF60" s="243">
        <v>17.0</v>
      </c>
      <c r="AG60" s="244" t="s">
        <v>169</v>
      </c>
      <c r="AH60" s="260">
        <v>11.42</v>
      </c>
    </row>
    <row r="61">
      <c r="AF61" s="243">
        <v>18.0</v>
      </c>
      <c r="AG61" s="244" t="s">
        <v>34</v>
      </c>
      <c r="AH61" s="260">
        <v>11.94</v>
      </c>
    </row>
    <row r="62">
      <c r="AF62" s="243">
        <v>19.0</v>
      </c>
      <c r="AG62" s="244" t="s">
        <v>28</v>
      </c>
      <c r="AH62" s="260">
        <v>13.38</v>
      </c>
    </row>
    <row r="63">
      <c r="AF63" s="243">
        <v>20.0</v>
      </c>
      <c r="AG63" s="243" t="s">
        <v>17</v>
      </c>
      <c r="AH63" s="248">
        <v>14.1</v>
      </c>
    </row>
    <row r="64">
      <c r="AF64" s="243">
        <v>21.0</v>
      </c>
      <c r="AG64" s="243" t="s">
        <v>218</v>
      </c>
      <c r="AH64" s="243">
        <v>30.3</v>
      </c>
    </row>
    <row r="69">
      <c r="AG69" s="243"/>
    </row>
    <row r="70">
      <c r="AG70" s="243"/>
    </row>
    <row r="71">
      <c r="AG71" s="243"/>
    </row>
    <row r="72">
      <c r="AG72" s="243"/>
    </row>
    <row r="76">
      <c r="AG76" s="243"/>
    </row>
  </sheetData>
  <drawing r:id="rId1"/>
</worksheet>
</file>